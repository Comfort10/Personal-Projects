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 defaultThemeVersion="166925"/>
  <xr:revisionPtr revIDLastSave="0" documentId="13_ncr:1_{1464B419-FBD5-4431-82D0-E3713DB823A3}" xr6:coauthVersionLast="47" xr6:coauthVersionMax="47" xr10:uidLastSave="{00000000-0000-0000-0000-000000000000}"/>
  <bookViews>
    <workbookView xWindow="-120" yWindow="-120" windowWidth="20730" windowHeight="11040" activeTab="7" xr2:uid="{F1F31DDD-98AC-4891-9777-AA2D93241542}"/>
  </bookViews>
  <sheets>
    <sheet name="Cover Page" sheetId="11" r:id="rId1"/>
    <sheet name="All Sales" sheetId="1" r:id="rId2"/>
    <sheet name="North" sheetId="2" r:id="rId3"/>
    <sheet name="South" sheetId="5" r:id="rId4"/>
    <sheet name="East" sheetId="3" r:id="rId5"/>
    <sheet name="West" sheetId="4" r:id="rId6"/>
    <sheet name="Copy of All Sales" sheetId="6" r:id="rId7"/>
    <sheet name="Chart" sheetId="7" r:id="rId8"/>
    <sheet name="Sales Analysis" sheetId="13" r:id="rId9"/>
    <sheet name="New Staff" sheetId="15" r:id="rId10"/>
  </sheets>
  <externalReferences>
    <externalReference r:id="rId11"/>
  </externalReferences>
  <definedNames>
    <definedName name="_xlnm._FilterDatabase" localSheetId="1" hidden="1">'All Sales'!$A$1:$J$488</definedName>
    <definedName name="_xlnm._FilterDatabase" localSheetId="6" hidden="1">'Copy of All Sales'!$A$1:$J$488</definedName>
    <definedName name="_xlnm._FilterDatabase" localSheetId="4" hidden="1">East!$A$1:$I$97</definedName>
    <definedName name="_xlnm._FilterDatabase" localSheetId="2" hidden="1">North!$A$1:$I$1</definedName>
    <definedName name="_xlnm._FilterDatabase" localSheetId="3" hidden="1">South!$A$1:$I$1</definedName>
    <definedName name="_xlnm._FilterDatabase" localSheetId="5" hidden="1">West!$A$1:$I$197</definedName>
    <definedName name="bev">[1]Sheet2!$H$7:$H$12</definedName>
    <definedName name="bg">[1]Sheet2!$H$2:$H$6</definedName>
    <definedName name="candy">[1]Sheet2!$H$13:$H$17</definedName>
    <definedName name="cmeat">[1]Sheet2!$H$22:$H$23</definedName>
    <definedName name="Co_List">[1]Sheet2!$A$2:$A$27</definedName>
    <definedName name="condiment">[1]Sheet2!$H$24:$H$27</definedName>
    <definedName name="dairyp">[1]Sheet2!$H$28:$H$32</definedName>
    <definedName name="e">[1]Sheet3!$D$6:$D$10</definedName>
    <definedName name="fandv">[1]Sheet2!$H$18:$H$21</definedName>
    <definedName name="grains">[1]Sheet2!$H$37:$H$40</definedName>
    <definedName name="jams">[1]Sheet2!$H$41:$H$43</definedName>
    <definedName name="n">[1]Sheet3!$E$6:$E$10</definedName>
    <definedName name="ne">[1]Sheet3!$G$6:$G$10</definedName>
    <definedName name="nuts">[1]Sheet2!$H$33:$H$36</definedName>
    <definedName name="nw">[1]Sheet3!$F$6:$F$10</definedName>
    <definedName name="oil">[1]Sheet2!$H$44:$H$45</definedName>
    <definedName name="pasta">[1]Sheet2!$H$46:$H$50</definedName>
    <definedName name="prod_cat">[1]Sheet2!$L$2:$L$16</definedName>
    <definedName name="pt">[1]Sheet2!$E$2:$E$4</definedName>
    <definedName name="s">[1]Sheet3!$H$6:$H$10</definedName>
    <definedName name="se">[1]Sheet3!$J$6:$J$10</definedName>
    <definedName name="soup">[1]Sheet2!$H$55:$H$58</definedName>
    <definedName name="sw">[1]Sheet3!$I$6:$I$10</definedName>
    <definedName name="team">[1]Sheet2!$C$2:$C$9</definedName>
    <definedName name="w">[1]Sheet3!$C$6:$C$10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 a="1"/>
  <c r="E2" i="6"/>
  <c r="C4" i="1"/>
  <c r="C3" i="1"/>
  <c r="C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I2" i="4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G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489" i="6" s="1"/>
  <c r="L4" i="2" a="1"/>
  <c r="L4" i="2"/>
  <c r="L3" i="2" a="1"/>
  <c r="L3" i="2"/>
  <c r="L3" i="3" a="1"/>
  <c r="L3" i="3"/>
  <c r="L3" i="4" a="1"/>
  <c r="L3" i="4"/>
  <c r="M3" i="5"/>
  <c r="N3" i="5"/>
  <c r="O3" i="5"/>
  <c r="P3" i="5"/>
  <c r="L3" i="5"/>
  <c r="L2" i="5" a="1"/>
  <c r="L2" i="5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2" i="2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2" i="3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L4" i="4" l="1" a="1"/>
  <c r="L4" i="4" s="1"/>
  <c r="L4" i="3" a="1"/>
  <c r="L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AFE09-4F30-49A9-90C9-CB20F1F70BD3}" keepAlive="1" name="Query - IXFFC4XeTOSxRQuF3gzkbw_9e632780cfc14f169d6f88877bdb2de1_New-Staff" description="Connection to the 'IXFFC4XeTOSxRQuF3gzkbw_9e632780cfc14f169d6f88877bdb2de1_New-Staff' query in the workbook." type="5" refreshedVersion="0" background="1">
    <dbPr connection="Provider=Microsoft.Mashup.OleDb.1;Data Source=$Workbook$;Location=IXFFC4XeTOSxRQuF3gzkbw_9e632780cfc14f169d6f88877bdb2de1_New-Staff;Extended Properties=&quot;&quot;" command="SELECT * FROM [IXFFC4XeTOSxRQuF3gzkbw_9e632780cfc14f169d6f88877bdb2de1_New-Staf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<sst xmlns="http://schemas.openxmlformats.org/spreadsheetml/2006/main" count="7072" uniqueCount="139">
  <si>
    <t>Month</t>
  </si>
  <si>
    <t>Employee</t>
  </si>
  <si>
    <t>First Name</t>
  </si>
  <si>
    <t>Last Name</t>
  </si>
  <si>
    <t>Sales Area</t>
  </si>
  <si>
    <t>Sales Amount</t>
  </si>
  <si>
    <t>Payment Type</t>
  </si>
  <si>
    <t>Ashley Almanza</t>
  </si>
  <si>
    <t>Ashley</t>
  </si>
  <si>
    <t>Almanza</t>
  </si>
  <si>
    <t>East</t>
  </si>
  <si>
    <t>Credit Card</t>
  </si>
  <si>
    <t>Derek Godwin</t>
  </si>
  <si>
    <t>Derek</t>
  </si>
  <si>
    <t>Godwin</t>
  </si>
  <si>
    <t>Cash</t>
  </si>
  <si>
    <t>Reza Jafari</t>
  </si>
  <si>
    <t>Reza</t>
  </si>
  <si>
    <t>Jafari</t>
  </si>
  <si>
    <t>Nina McDonald</t>
  </si>
  <si>
    <t>Nina</t>
  </si>
  <si>
    <t>McDonald</t>
  </si>
  <si>
    <t>West</t>
  </si>
  <si>
    <t>Olivia Cheung</t>
  </si>
  <si>
    <t>Olivia</t>
  </si>
  <si>
    <t>Cheung</t>
  </si>
  <si>
    <t>South</t>
  </si>
  <si>
    <t>Gordon Beswick</t>
  </si>
  <si>
    <t>Gordon</t>
  </si>
  <si>
    <t>Beswick</t>
  </si>
  <si>
    <t>Chloe Fusaro</t>
  </si>
  <si>
    <t>Chloe</t>
  </si>
  <si>
    <t>Fusaro</t>
  </si>
  <si>
    <t>North</t>
  </si>
  <si>
    <t>Annabel Mettick</t>
  </si>
  <si>
    <t>Annabel</t>
  </si>
  <si>
    <t>Mettick</t>
  </si>
  <si>
    <t>Tia Cruise</t>
  </si>
  <si>
    <t>Tia</t>
  </si>
  <si>
    <t>Cruise</t>
  </si>
  <si>
    <t>Jonah Seitz</t>
  </si>
  <si>
    <t>Jonah</t>
  </si>
  <si>
    <t>Seitz</t>
  </si>
  <si>
    <t>On Account</t>
  </si>
  <si>
    <t>Ally Bryant</t>
  </si>
  <si>
    <t>Ally</t>
  </si>
  <si>
    <t>Bryant</t>
  </si>
  <si>
    <t>Emily Whelan</t>
  </si>
  <si>
    <t>Emily</t>
  </si>
  <si>
    <t>Whelan</t>
  </si>
  <si>
    <t>Jason Jackaki</t>
  </si>
  <si>
    <t>Jason</t>
  </si>
  <si>
    <t>Jackaki</t>
  </si>
  <si>
    <t>Josh Sutherland</t>
  </si>
  <si>
    <t>Josh</t>
  </si>
  <si>
    <t>Sutherland</t>
  </si>
  <si>
    <t>Cory Goodwin</t>
  </si>
  <si>
    <t>Cory</t>
  </si>
  <si>
    <t>Goodwin</t>
  </si>
  <si>
    <t>David Wilkinson</t>
  </si>
  <si>
    <t>David</t>
  </si>
  <si>
    <t>Wilkinson</t>
  </si>
  <si>
    <t>Charlotte Edwards</t>
  </si>
  <si>
    <t>Charlotte</t>
  </si>
  <si>
    <t>Edwards</t>
  </si>
  <si>
    <t>Spencer Cruz</t>
  </si>
  <si>
    <t>Spencer</t>
  </si>
  <si>
    <t>Cruz</t>
  </si>
  <si>
    <t>Bryan Maldonado</t>
  </si>
  <si>
    <t>Bryan</t>
  </si>
  <si>
    <t>Maldonado</t>
  </si>
  <si>
    <t>Sarah Gibbs</t>
  </si>
  <si>
    <t>Sarah</t>
  </si>
  <si>
    <t>Gibbs</t>
  </si>
  <si>
    <t>Targets</t>
  </si>
  <si>
    <t>Commissions</t>
  </si>
  <si>
    <t>Commission</t>
  </si>
  <si>
    <t>Salesperson Name</t>
  </si>
  <si>
    <t>Total Sales</t>
  </si>
  <si>
    <t>Total</t>
  </si>
  <si>
    <t>Over/Under</t>
  </si>
  <si>
    <t>Grand Total</t>
  </si>
  <si>
    <t>Sales 2021</t>
  </si>
  <si>
    <t>Chart Title:</t>
  </si>
  <si>
    <t>Sales</t>
  </si>
  <si>
    <t>2021 Sales Report</t>
  </si>
  <si>
    <t>Contents</t>
  </si>
  <si>
    <t>All Sales</t>
  </si>
  <si>
    <t>Team Results</t>
  </si>
  <si>
    <t>Chart</t>
  </si>
  <si>
    <t>Sales Analysis</t>
  </si>
  <si>
    <t>New Staff</t>
  </si>
  <si>
    <t>Area</t>
  </si>
  <si>
    <t>Brittany</t>
  </si>
  <si>
    <t>Nicole</t>
  </si>
  <si>
    <t>Clay</t>
  </si>
  <si>
    <t>Jennifer</t>
  </si>
  <si>
    <t>Manny</t>
  </si>
  <si>
    <t>Luke</t>
  </si>
  <si>
    <t>Debbie</t>
  </si>
  <si>
    <t>Elizabeth</t>
  </si>
  <si>
    <t>Joel</t>
  </si>
  <si>
    <t>Ebony</t>
  </si>
  <si>
    <t>Riley</t>
  </si>
  <si>
    <t>Alex</t>
  </si>
  <si>
    <t>Pat</t>
  </si>
  <si>
    <t>Jessica</t>
  </si>
  <si>
    <t>Jamie</t>
  </si>
  <si>
    <t>Drew</t>
  </si>
  <si>
    <t>Angela</t>
  </si>
  <si>
    <t>Karen</t>
  </si>
  <si>
    <t>Sam</t>
  </si>
  <si>
    <t>Gault</t>
  </si>
  <si>
    <t>Maier</t>
  </si>
  <si>
    <t>Corbin</t>
  </si>
  <si>
    <t>Delange</t>
  </si>
  <si>
    <t>Vazquez</t>
  </si>
  <si>
    <t>Webster</t>
  </si>
  <si>
    <t>Redenbaugh</t>
  </si>
  <si>
    <t>Godoy</t>
  </si>
  <si>
    <t>Lambert</t>
  </si>
  <si>
    <t>Jones</t>
  </si>
  <si>
    <t>Pane</t>
  </si>
  <si>
    <t>Sweeny</t>
  </si>
  <si>
    <t>Ward</t>
  </si>
  <si>
    <t>Hanks</t>
  </si>
  <si>
    <t>Craig</t>
  </si>
  <si>
    <t>Welch</t>
  </si>
  <si>
    <t>Womack</t>
  </si>
  <si>
    <t>Macleod</t>
  </si>
  <si>
    <t>D'aguilar</t>
  </si>
  <si>
    <t>Jessup</t>
  </si>
  <si>
    <t>NE</t>
  </si>
  <si>
    <t>NW</t>
  </si>
  <si>
    <t>SE</t>
  </si>
  <si>
    <t>SW</t>
  </si>
  <si>
    <t>Back to Cover Page</t>
  </si>
  <si>
    <t xml:space="preserve"> </t>
  </si>
  <si>
    <t>Nina McDonald+D1:D488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</si>
</sst>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.00_ ;[Red]\-[$$-409]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ADLaM Display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theme="1"/>
      </top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17" fontId="0" fillId="0" borderId="0" xfId="0" applyNumberFormat="1"/>
    <xf numFmtId="0" fontId="2" fillId="2" borderId="0" xfId="0" applyFont="1" applyFill="1"/>
    <xf numFmtId="9" fontId="0" fillId="3" borderId="0" xfId="1" applyFont="1" applyFill="1"/>
    <xf numFmtId="164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0" fontId="0" fillId="4" borderId="1" xfId="0" applyFill="1" applyBorder="1"/>
    <xf numFmtId="164" fontId="0" fillId="0" borderId="1" xfId="0" applyNumberFormat="1" applyBorder="1"/>
    <xf numFmtId="0" fontId="0" fillId="0" borderId="0" xfId="0" pivotButton="1"/>
    <xf numFmtId="0" fontId="4" fillId="0" borderId="0" xfId="0" applyFont="1"/>
    <xf numFmtId="0" fontId="5" fillId="0" borderId="0" xfId="0" applyFont="1"/>
    <xf numFmtId="0" fontId="7" fillId="0" borderId="0" xfId="2"/>
    <xf numFmtId="0" fontId="8" fillId="0" borderId="0" xfId="0" applyFont="1"/>
    <xf numFmtId="0" fontId="0" fillId="3" borderId="0" xfId="0" applyFill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17" fontId="0" fillId="6" borderId="4" xfId="0" applyNumberFormat="1" applyFill="1" applyBorder="1"/>
    <xf numFmtId="0" fontId="0" fillId="6" borderId="5" xfId="0" applyFill="1" applyBorder="1"/>
    <xf numFmtId="164" fontId="0" fillId="6" borderId="5" xfId="0" applyNumberFormat="1" applyFill="1" applyBorder="1"/>
    <xf numFmtId="165" fontId="0" fillId="6" borderId="6" xfId="0" applyNumberFormat="1" applyFill="1" applyBorder="1"/>
    <xf numFmtId="17" fontId="0" fillId="0" borderId="4" xfId="0" applyNumberFormat="1" applyBorder="1"/>
    <xf numFmtId="0" fontId="0" fillId="0" borderId="5" xfId="0" applyBorder="1"/>
    <xf numFmtId="164" fontId="0" fillId="0" borderId="5" xfId="0" applyNumberFormat="1" applyBorder="1"/>
    <xf numFmtId="165" fontId="0" fillId="0" borderId="6" xfId="0" applyNumberForma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File - Completed.xlsx]Chart!Sale_2021</c:name>
    <c:fmtId val="0"/>
  </c:pivotSource>
  <c:chart>
    <c:title>
      <c:tx>
        <c:strRef>
          <c:f>Chart!$D$1</c:f>
          <c:strCache>
            <c:ptCount val="1"/>
            <c:pt idx="0">
              <c:v>Sales 2021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89422106260386"/>
          <c:y val="0.12700401606425704"/>
          <c:w val="0.87659295842457563"/>
          <c:h val="0.724969041520412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Chart!$D$1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Chart!$D$1</c:f>
              <c:numCache>
                <c:formatCode>[$$-409]#,##0.00</c:formatCode>
                <c:ptCount val="4"/>
                <c:pt idx="0">
                  <c:v>1945833.2000000004</c:v>
                </c:pt>
                <c:pt idx="1">
                  <c:v>1894626.6899999995</c:v>
                </c:pt>
                <c:pt idx="2">
                  <c:v>1812496.3000000007</c:v>
                </c:pt>
                <c:pt idx="3">
                  <c:v>1805833.5999999996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F-45AB-9795-38404DCCC5E5}"/>
            </c:ext>
          </c:extLst>
        </c:ser>
        <c:ser>
          <c:idx val="1"/>
          <c:order val="1"/>
          <c:tx>
            <c:strRef>
              <c:f>Chart!$D$1</c:f>
              <c:strCache>
                <c:ptCount val="1"/>
                <c:pt idx="0">
                  <c:v>Commission</c:v>
                </c:pt>
              </c:strCache>
            </c:strRef>
          </c:tx>
          <c:spPr>
            <a:solidFill>
              <a:srgbClr val="92D05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Chart!$D$1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Chart!$D$1</c:f>
              <c:numCache>
                <c:formatCode>[$$-409]#,##0.00</c:formatCode>
                <c:ptCount val="4"/>
                <c:pt idx="0">
                  <c:v>157168.13</c:v>
                </c:pt>
                <c:pt idx="1">
                  <c:v>128660.95999999998</c:v>
                </c:pt>
                <c:pt idx="2">
                  <c:v>138552.42000000001</c:v>
                </c:pt>
                <c:pt idx="3">
                  <c:v>147698.53000000003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F-45AB-9795-38404DCC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28239423"/>
        <c:axId val="1228232703"/>
      </c:barChart>
      <c:catAx>
        <c:axId val="122823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232703"/>
        <c:crosses val="autoZero"/>
        <c:auto val="1"/>
        <c:lblAlgn val="ctr"/>
        <c:lblOffset val="100"/>
        <c:noMultiLvlLbl val="0"/>
      </c:catAx>
      <c:valAx>
        <c:axId val="12282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23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-1</xdr:colOff>
      <xdr:row>1</xdr:row>
      <xdr:rowOff>35719</xdr:rowOff>
    </xdr:from>
    <xdr:to>
      <xdr:col>12</xdr:col>
      <xdr:colOff>785812</xdr:colOff>
      <xdr:row>21</xdr:row>
      <xdr:rowOff>178594</xdr:rowOff>
    </xdr:to>
    <xdr:graphicFrame macro="">
      <xdr:nvGraphicFramePr>
        <xdr:cNvPr id="2" name="Sales_2021" descr="2021 Report for Sales and Commission for different Sales Area. &#10;">
          <a:extLst>
            <a:ext uri="{FF2B5EF4-FFF2-40B4-BE49-F238E27FC236}">
              <a16:creationId xmlns:a16="http://schemas.microsoft.com/office/drawing/2014/main" id="{0221DB2A-0B81-A62E-A150-7B88B8179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dge\Documents\Work\SureSkills\Coursera\data%20bl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2">
          <cell r="A2" t="str">
            <v>Company_A</v>
          </cell>
          <cell r="C2" t="str">
            <v>West</v>
          </cell>
          <cell r="E2" t="str">
            <v>Cash</v>
          </cell>
          <cell r="H2" t="str">
            <v>Cookies</v>
          </cell>
          <cell r="L2" t="str">
            <v>Candy</v>
          </cell>
        </row>
        <row r="3">
          <cell r="A3" t="str">
            <v>Company_B</v>
          </cell>
          <cell r="C3" t="str">
            <v>East</v>
          </cell>
          <cell r="E3" t="str">
            <v>Credit Card</v>
          </cell>
          <cell r="H3" t="str">
            <v>Scones</v>
          </cell>
          <cell r="L3" t="str">
            <v>Baked Goods &amp; Mixes</v>
          </cell>
        </row>
        <row r="4">
          <cell r="A4" t="str">
            <v>Company_C</v>
          </cell>
          <cell r="C4" t="str">
            <v>NorthWest</v>
          </cell>
          <cell r="E4" t="str">
            <v>On Account</v>
          </cell>
          <cell r="H4" t="str">
            <v>Biscuits</v>
          </cell>
          <cell r="L4" t="str">
            <v>Beverages</v>
          </cell>
        </row>
        <row r="5">
          <cell r="A5" t="str">
            <v>Company_D</v>
          </cell>
          <cell r="C5" t="str">
            <v>NorthEast</v>
          </cell>
          <cell r="H5" t="str">
            <v>Brownies</v>
          </cell>
          <cell r="L5" t="str">
            <v>Candy</v>
          </cell>
        </row>
        <row r="6">
          <cell r="A6" t="str">
            <v>Company_E</v>
          </cell>
          <cell r="C6" t="str">
            <v>South</v>
          </cell>
          <cell r="H6" t="str">
            <v>Chocolate Cake</v>
          </cell>
          <cell r="L6" t="str">
            <v>Canned Fruit &amp; Vegetables</v>
          </cell>
        </row>
        <row r="7">
          <cell r="A7" t="str">
            <v>Company_F</v>
          </cell>
          <cell r="C7" t="str">
            <v>SouthWest</v>
          </cell>
          <cell r="H7" t="str">
            <v>Coffee</v>
          </cell>
          <cell r="L7" t="str">
            <v>Canned Meat</v>
          </cell>
        </row>
        <row r="8">
          <cell r="A8" t="str">
            <v>Company_G</v>
          </cell>
          <cell r="C8" t="str">
            <v>WouthEast</v>
          </cell>
          <cell r="H8" t="str">
            <v>Chai</v>
          </cell>
          <cell r="L8" t="str">
            <v>Condiments</v>
          </cell>
        </row>
        <row r="9">
          <cell r="A9" t="str">
            <v>Company_H</v>
          </cell>
          <cell r="C9" t="str">
            <v>North</v>
          </cell>
          <cell r="H9" t="str">
            <v>Decaf Coffee</v>
          </cell>
          <cell r="L9" t="str">
            <v>Dairy Products</v>
          </cell>
        </row>
        <row r="10">
          <cell r="A10" t="str">
            <v>Company_I</v>
          </cell>
          <cell r="H10" t="str">
            <v>Tea</v>
          </cell>
          <cell r="L10" t="str">
            <v>Dried Fruit &amp; Nuts</v>
          </cell>
        </row>
        <row r="11">
          <cell r="A11" t="str">
            <v>Company_J</v>
          </cell>
          <cell r="H11" t="str">
            <v>Decaf Tea</v>
          </cell>
          <cell r="L11" t="str">
            <v>Grains</v>
          </cell>
        </row>
        <row r="12">
          <cell r="A12" t="str">
            <v>Company_K</v>
          </cell>
          <cell r="H12" t="str">
            <v>Green Tea</v>
          </cell>
          <cell r="L12" t="str">
            <v>Jams, Preserves</v>
          </cell>
        </row>
        <row r="13">
          <cell r="A13" t="str">
            <v>Company_L</v>
          </cell>
          <cell r="H13" t="str">
            <v>Chocolates</v>
          </cell>
          <cell r="L13" t="str">
            <v>Oil</v>
          </cell>
        </row>
        <row r="14">
          <cell r="A14" t="str">
            <v>Company_M</v>
          </cell>
          <cell r="H14" t="str">
            <v>Jellies</v>
          </cell>
          <cell r="L14" t="str">
            <v>Pasta</v>
          </cell>
        </row>
        <row r="15">
          <cell r="A15" t="str">
            <v>Company_N</v>
          </cell>
          <cell r="H15" t="str">
            <v>Marshmallows</v>
          </cell>
          <cell r="L15" t="str">
            <v>Sauces</v>
          </cell>
        </row>
        <row r="16">
          <cell r="A16" t="str">
            <v>Company_O</v>
          </cell>
          <cell r="H16" t="str">
            <v>Liquerice</v>
          </cell>
          <cell r="L16" t="str">
            <v>Soups</v>
          </cell>
        </row>
        <row r="17">
          <cell r="A17" t="str">
            <v>Company_P</v>
          </cell>
          <cell r="H17" t="str">
            <v>Mints</v>
          </cell>
        </row>
        <row r="18">
          <cell r="A18" t="str">
            <v>Company_Q</v>
          </cell>
          <cell r="H18" t="str">
            <v>Fruit Cocktail</v>
          </cell>
        </row>
        <row r="19">
          <cell r="A19" t="str">
            <v>Company_R</v>
          </cell>
          <cell r="H19" t="str">
            <v>Sweetcorn</v>
          </cell>
        </row>
        <row r="20">
          <cell r="A20" t="str">
            <v>Company_S</v>
          </cell>
          <cell r="H20" t="str">
            <v>Baked Beans</v>
          </cell>
        </row>
        <row r="21">
          <cell r="A21" t="str">
            <v>Company_T</v>
          </cell>
          <cell r="H21" t="str">
            <v>Pineapple</v>
          </cell>
        </row>
        <row r="22">
          <cell r="A22" t="str">
            <v>Company_U</v>
          </cell>
          <cell r="H22" t="str">
            <v>Crab Meat</v>
          </cell>
        </row>
        <row r="23">
          <cell r="A23" t="str">
            <v>Company_V</v>
          </cell>
          <cell r="H23" t="str">
            <v>Tune</v>
          </cell>
        </row>
        <row r="24">
          <cell r="A24" t="str">
            <v>Company_W</v>
          </cell>
          <cell r="H24" t="str">
            <v>Ketchup</v>
          </cell>
        </row>
        <row r="25">
          <cell r="A25" t="str">
            <v>Company_X</v>
          </cell>
          <cell r="H25" t="str">
            <v>Soy Sauce</v>
          </cell>
        </row>
        <row r="26">
          <cell r="A26" t="str">
            <v>Company_Y</v>
          </cell>
          <cell r="H26" t="str">
            <v>Mayonaise</v>
          </cell>
        </row>
        <row r="27">
          <cell r="A27" t="str">
            <v>Company_Z</v>
          </cell>
          <cell r="H27" t="str">
            <v>Mustard</v>
          </cell>
        </row>
        <row r="28">
          <cell r="H28" t="str">
            <v>Mozzarella</v>
          </cell>
        </row>
        <row r="29">
          <cell r="H29" t="str">
            <v>Swiss Cheese</v>
          </cell>
        </row>
        <row r="30">
          <cell r="H30" t="str">
            <v>Milk</v>
          </cell>
        </row>
        <row r="31">
          <cell r="H31" t="str">
            <v>Cream</v>
          </cell>
        </row>
        <row r="32">
          <cell r="H32" t="str">
            <v>Butter</v>
          </cell>
        </row>
        <row r="33">
          <cell r="H33" t="str">
            <v>Almonds</v>
          </cell>
        </row>
        <row r="34">
          <cell r="H34" t="str">
            <v>Dried Plums</v>
          </cell>
        </row>
        <row r="35">
          <cell r="H35" t="str">
            <v>Dried Apples</v>
          </cell>
        </row>
        <row r="36">
          <cell r="H36" t="str">
            <v>Dried Pears</v>
          </cell>
        </row>
        <row r="37">
          <cell r="H37" t="str">
            <v>Long Grain Rice</v>
          </cell>
        </row>
        <row r="38">
          <cell r="H38" t="str">
            <v>Barley</v>
          </cell>
        </row>
        <row r="39">
          <cell r="H39" t="str">
            <v>Oats</v>
          </cell>
        </row>
        <row r="40">
          <cell r="H40" t="str">
            <v>Quinoa</v>
          </cell>
        </row>
        <row r="41">
          <cell r="H41" t="str">
            <v>Marmalade</v>
          </cell>
        </row>
        <row r="42">
          <cell r="H42" t="str">
            <v>Strawberry Jelly</v>
          </cell>
        </row>
        <row r="43">
          <cell r="H43" t="str">
            <v>Chocolate Spread</v>
          </cell>
        </row>
        <row r="44">
          <cell r="H44" t="str">
            <v>Olive Oil</v>
          </cell>
        </row>
        <row r="45">
          <cell r="H45" t="str">
            <v>Vegetable Oil</v>
          </cell>
        </row>
        <row r="46">
          <cell r="H46" t="str">
            <v>Ravioli</v>
          </cell>
        </row>
        <row r="47">
          <cell r="H47" t="str">
            <v>Fettucine</v>
          </cell>
        </row>
        <row r="48">
          <cell r="H48" t="str">
            <v>Spaghetti</v>
          </cell>
        </row>
        <row r="49">
          <cell r="H49" t="str">
            <v>Tagiatelle</v>
          </cell>
        </row>
        <row r="50">
          <cell r="H50" t="str">
            <v>Vermicelli</v>
          </cell>
        </row>
        <row r="55">
          <cell r="H55" t="str">
            <v>Clam Chowder</v>
          </cell>
        </row>
        <row r="56">
          <cell r="H56" t="str">
            <v>Tomato</v>
          </cell>
        </row>
        <row r="57">
          <cell r="H57" t="str">
            <v>Chicken Soup</v>
          </cell>
        </row>
        <row r="58">
          <cell r="H58" t="str">
            <v>Onion Soup</v>
          </cell>
        </row>
      </sheetData>
      <sheetData sheetId="2">
        <row r="6">
          <cell r="C6" t="str">
            <v>Nina</v>
          </cell>
          <cell r="D6" t="str">
            <v>Ashley</v>
          </cell>
          <cell r="E6" t="str">
            <v>Chloe</v>
          </cell>
          <cell r="F6" t="str">
            <v>Debbie</v>
          </cell>
          <cell r="G6" t="str">
            <v>Brittany</v>
          </cell>
          <cell r="H6" t="str">
            <v>Jason</v>
          </cell>
          <cell r="I6" t="str">
            <v>Drew</v>
          </cell>
          <cell r="J6" t="str">
            <v>Alex</v>
          </cell>
        </row>
        <row r="7">
          <cell r="C7" t="str">
            <v>Ally</v>
          </cell>
          <cell r="D7" t="str">
            <v>Derek</v>
          </cell>
          <cell r="E7" t="str">
            <v>Sarah</v>
          </cell>
          <cell r="F7" t="str">
            <v>Joel</v>
          </cell>
          <cell r="G7" t="str">
            <v>Clay</v>
          </cell>
          <cell r="H7" t="str">
            <v>Annabel</v>
          </cell>
          <cell r="I7" t="str">
            <v>Karen</v>
          </cell>
          <cell r="J7" t="str">
            <v>Jessica</v>
          </cell>
        </row>
        <row r="8">
          <cell r="C8" t="str">
            <v>Spencer</v>
          </cell>
          <cell r="D8" t="str">
            <v>Bryan</v>
          </cell>
          <cell r="E8" t="str">
            <v>Jonah</v>
          </cell>
          <cell r="F8" t="str">
            <v>Elizabeth</v>
          </cell>
          <cell r="G8" t="str">
            <v>Nicole</v>
          </cell>
          <cell r="H8" t="str">
            <v>Emily</v>
          </cell>
          <cell r="I8" t="str">
            <v>Angela</v>
          </cell>
          <cell r="J8" t="str">
            <v>Ebony</v>
          </cell>
        </row>
        <row r="9">
          <cell r="C9" t="str">
            <v>Tia</v>
          </cell>
          <cell r="D9" t="str">
            <v>Gordon</v>
          </cell>
          <cell r="E9" t="str">
            <v>Charlotte</v>
          </cell>
          <cell r="F9" t="str">
            <v>Manny</v>
          </cell>
          <cell r="G9" t="str">
            <v>Ashley</v>
          </cell>
          <cell r="H9" t="str">
            <v>Cory</v>
          </cell>
          <cell r="I9" t="str">
            <v>Sam</v>
          </cell>
          <cell r="J9" t="str">
            <v>Pat</v>
          </cell>
        </row>
        <row r="10">
          <cell r="C10" t="str">
            <v>Josh</v>
          </cell>
          <cell r="D10" t="str">
            <v>Jafari</v>
          </cell>
          <cell r="E10" t="str">
            <v>David</v>
          </cell>
          <cell r="F10" t="str">
            <v>Luke</v>
          </cell>
          <cell r="G10" t="str">
            <v>Jennifer</v>
          </cell>
          <cell r="H10" t="str">
            <v>Olivia</v>
          </cell>
          <cell r="I10" t="str">
            <v>Jamie</v>
          </cell>
          <cell r="J10" t="str">
            <v>Riley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82.660139236112" createdVersion="8" refreshedVersion="8" minRefreshableVersion="3" recordCount="487" xr:uid="{10FCE9C5-2410-4928-9F68-18ECC9C60311}">
  <cacheSource type="worksheet">
    <worksheetSource ref="A1:K489" sheet="Copy of All Sales"/>
  </cacheSource>
  <cacheFields count="10">
    <cacheField name="Month" numFmtId="17">
      <sharedItems containsSemiMixedTypes="0" containsNonDate="0" containsDate="1" containsString="0" minDate="2021-01-01T00:00:00" maxDate="2021-12-02T00:00:00"/>
    </cacheField>
    <cacheField name="Employee" numFmtId="0">
      <sharedItems count="25">
        <s v="Reza Jafari"/>
        <s v="Bryan Maldonado"/>
        <s v="Ashley Almanza"/>
        <s v="Derek Godwin"/>
        <s v="Gordon Beswick"/>
        <s v="Chloe Fusaro"/>
        <s v="David Wilkinson"/>
        <s v="Sarah Gibbs"/>
        <s v="Charlotte Edwards"/>
        <s v="Jonah Seitz"/>
        <s v="Olivia Cheung"/>
        <s v="Jason Jackaki"/>
        <s v="Annabel Mettick"/>
        <s v="Emily Whelan"/>
        <s v="Cory Goodwin"/>
        <s v="Spencer"/>
        <s v="Ally"/>
        <s v="Nina"/>
        <s v="Josh"/>
        <s v="Nina McDonald"/>
        <s v="Ally Bryant"/>
        <s v="Josh Sutherland"/>
        <s v="Spencer Cruz"/>
        <s v="Tia"/>
        <s v="Tia Cruise"/>
      </sharedItems>
    </cacheField>
    <cacheField name="First Name" numFmtId="0">
      <sharedItems containsBlank="1"/>
    </cacheField>
    <cacheField name="Last Name" numFmtId="0">
      <sharedItems containsBlank="1"/>
    </cacheField>
    <cacheField name="Sales Area" numFmtId="0">
      <sharedItems count="4">
        <s v="East"/>
        <s v="North"/>
        <s v="South"/>
        <s v="West"/>
      </sharedItems>
    </cacheField>
    <cacheField name="Sales Amount" numFmtId="164">
      <sharedItems containsSemiMixedTypes="0" containsString="0" containsNumber="1" minValue="299.71999999999997" maxValue="51531.199999999997"/>
    </cacheField>
    <cacheField name="Payment Type" numFmtId="0">
      <sharedItems/>
    </cacheField>
    <cacheField name="Targets" numFmtId="164">
      <sharedItems containsSemiMixedTypes="0" containsString="0" containsNumber="1" containsInteger="1" minValue="15000" maxValue="15000"/>
    </cacheField>
    <cacheField name="Commissions" numFmtId="164">
      <sharedItems containsSemiMixedTypes="0" containsString="0" containsNumber="1" minValue="0" maxValue="5153.12"/>
    </cacheField>
    <cacheField name="Over/Under" numFmtId="165">
      <sharedItems containsSemiMixedTypes="0" containsString="0" containsNumber="1" minValue="-14700.28" maxValue="36531.1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">
  <r>
    <d v="2021-01-01T00:00:00"/>
    <x v="0"/>
    <s v="Reza"/>
    <s v="Jafari"/>
    <x v="0"/>
    <n v="2954.7"/>
    <s v="Cash"/>
    <n v="15000"/>
    <n v="0"/>
    <n v="-12045.3"/>
  </r>
  <r>
    <d v="2021-01-01T00:00:00"/>
    <x v="1"/>
    <s v="Bryan"/>
    <s v="Maldonado"/>
    <x v="0"/>
    <n v="6796.7999999999993"/>
    <s v="Credit Card"/>
    <n v="15000"/>
    <n v="0"/>
    <n v="-8203.2000000000007"/>
  </r>
  <r>
    <d v="2021-01-01T00:00:00"/>
    <x v="1"/>
    <s v="Bryan"/>
    <s v="Maldonado"/>
    <x v="0"/>
    <n v="8188"/>
    <s v="On Account"/>
    <n v="15000"/>
    <n v="0"/>
    <n v="-6812"/>
  </r>
  <r>
    <d v="2021-01-01T00:00:00"/>
    <x v="0"/>
    <s v="Reza"/>
    <s v="Jafari"/>
    <x v="0"/>
    <n v="9058.4"/>
    <s v="Credit Card"/>
    <n v="15000"/>
    <n v="0"/>
    <n v="-5941.6"/>
  </r>
  <r>
    <d v="2021-01-01T00:00:00"/>
    <x v="1"/>
    <s v="Bryan"/>
    <s v="Maldonado"/>
    <x v="0"/>
    <n v="12096"/>
    <s v="On Account"/>
    <n v="15000"/>
    <n v="0"/>
    <n v="-2904"/>
  </r>
  <r>
    <d v="2021-01-01T00:00:00"/>
    <x v="2"/>
    <s v="Ashley"/>
    <s v="Almanza"/>
    <x v="0"/>
    <n v="15029"/>
    <s v="Cash"/>
    <n v="15000"/>
    <n v="1502.9"/>
    <n v="29"/>
  </r>
  <r>
    <d v="2021-01-01T00:00:00"/>
    <x v="2"/>
    <s v="Ashley"/>
    <s v="Almanza"/>
    <x v="0"/>
    <n v="15264"/>
    <s v="Cash"/>
    <n v="15000"/>
    <n v="1526.4"/>
    <n v="264"/>
  </r>
  <r>
    <d v="2021-01-01T00:00:00"/>
    <x v="2"/>
    <s v="Ashley"/>
    <s v="Almanza"/>
    <x v="0"/>
    <n v="17353.599999999999"/>
    <s v="Credit Card"/>
    <n v="15000"/>
    <n v="1735.36"/>
    <n v="2353.5999999999985"/>
  </r>
  <r>
    <d v="2021-01-01T00:00:00"/>
    <x v="3"/>
    <s v="Derek"/>
    <s v="Godwin"/>
    <x v="0"/>
    <n v="20140"/>
    <s v="On Account"/>
    <n v="15000"/>
    <n v="2014"/>
    <n v="5140"/>
  </r>
  <r>
    <d v="2021-01-01T00:00:00"/>
    <x v="3"/>
    <s v="Derek"/>
    <s v="Godwin"/>
    <x v="0"/>
    <n v="35649"/>
    <s v="Credit Card"/>
    <n v="15000"/>
    <n v="3564.9"/>
    <n v="20649"/>
  </r>
  <r>
    <d v="2021-02-01T00:00:00"/>
    <x v="4"/>
    <s v="Gordon"/>
    <s v="Beswick"/>
    <x v="0"/>
    <n v="7717.5"/>
    <s v="On Account"/>
    <n v="15000"/>
    <n v="0"/>
    <n v="-7282.5"/>
  </r>
  <r>
    <d v="2021-02-01T00:00:00"/>
    <x v="4"/>
    <s v="Gordon"/>
    <s v="Beswick"/>
    <x v="0"/>
    <n v="11617.6"/>
    <s v="Cash"/>
    <n v="15000"/>
    <n v="0"/>
    <n v="-3382.3999999999996"/>
  </r>
  <r>
    <d v="2021-02-01T00:00:00"/>
    <x v="3"/>
    <s v="Derek"/>
    <s v="Godwin"/>
    <x v="0"/>
    <n v="19431"/>
    <s v="Cash"/>
    <n v="15000"/>
    <n v="1943.1000000000001"/>
    <n v="4431"/>
  </r>
  <r>
    <d v="2021-02-01T00:00:00"/>
    <x v="2"/>
    <s v="Ashley"/>
    <s v="Almanza"/>
    <x v="0"/>
    <n v="21169.599999999999"/>
    <s v="Cash"/>
    <n v="15000"/>
    <n v="2116.96"/>
    <n v="6169.5999999999985"/>
  </r>
  <r>
    <d v="2021-02-01T00:00:00"/>
    <x v="0"/>
    <s v="Reza"/>
    <s v="Jafari"/>
    <x v="0"/>
    <n v="29158.400000000001"/>
    <s v="Cash"/>
    <n v="15000"/>
    <n v="2915.84"/>
    <n v="14158.400000000001"/>
  </r>
  <r>
    <d v="2021-02-01T00:00:00"/>
    <x v="3"/>
    <s v="Derek"/>
    <s v="Godwin"/>
    <x v="0"/>
    <n v="30305"/>
    <s v="Credit Card"/>
    <n v="15000"/>
    <n v="3030.5"/>
    <n v="15305"/>
  </r>
  <r>
    <d v="2021-02-01T00:00:00"/>
    <x v="4"/>
    <s v="Gordon"/>
    <s v="Beswick"/>
    <x v="0"/>
    <n v="43184.399999999994"/>
    <s v="On Account"/>
    <n v="15000"/>
    <n v="4318.4399999999996"/>
    <n v="28184.399999999994"/>
  </r>
  <r>
    <d v="2021-03-01T00:00:00"/>
    <x v="3"/>
    <s v="Derek"/>
    <s v="Godwin"/>
    <x v="0"/>
    <n v="2311.5"/>
    <s v="Cash"/>
    <n v="15000"/>
    <n v="0"/>
    <n v="-12688.5"/>
  </r>
  <r>
    <d v="2021-03-01T00:00:00"/>
    <x v="4"/>
    <s v="Gordon"/>
    <s v="Beswick"/>
    <x v="0"/>
    <n v="3013.5"/>
    <s v="Cash"/>
    <n v="15000"/>
    <n v="0"/>
    <n v="-11986.5"/>
  </r>
  <r>
    <d v="2021-03-01T00:00:00"/>
    <x v="4"/>
    <s v="Gordon"/>
    <s v="Beswick"/>
    <x v="0"/>
    <n v="5287.5"/>
    <s v="Cash"/>
    <n v="15000"/>
    <n v="0"/>
    <n v="-9712.5"/>
  </r>
  <r>
    <d v="2021-03-01T00:00:00"/>
    <x v="0"/>
    <s v="Reza"/>
    <s v="Jafari"/>
    <x v="0"/>
    <n v="13797"/>
    <s v="Credit Card"/>
    <n v="15000"/>
    <n v="0"/>
    <n v="-1203"/>
  </r>
  <r>
    <d v="2021-03-01T00:00:00"/>
    <x v="1"/>
    <s v="Bryan"/>
    <s v="Maldonado"/>
    <x v="0"/>
    <n v="14063"/>
    <s v="Cash"/>
    <n v="15000"/>
    <n v="0"/>
    <n v="-937"/>
  </r>
  <r>
    <d v="2021-03-01T00:00:00"/>
    <x v="0"/>
    <s v="Reza"/>
    <s v="Jafari"/>
    <x v="0"/>
    <n v="14608.300000000001"/>
    <s v="Credit Card"/>
    <n v="15000"/>
    <n v="0"/>
    <n v="-391.69999999999891"/>
  </r>
  <r>
    <d v="2021-03-01T00:00:00"/>
    <x v="4"/>
    <s v="Gordon"/>
    <s v="Beswick"/>
    <x v="0"/>
    <n v="16063.199999999999"/>
    <s v="Cash"/>
    <n v="15000"/>
    <n v="1606.32"/>
    <n v="1063.1999999999989"/>
  </r>
  <r>
    <d v="2021-03-01T00:00:00"/>
    <x v="3"/>
    <s v="Derek"/>
    <s v="Godwin"/>
    <x v="0"/>
    <n v="16836"/>
    <s v="Credit Card"/>
    <n v="15000"/>
    <n v="1683.6000000000001"/>
    <n v="1836"/>
  </r>
  <r>
    <d v="2021-03-01T00:00:00"/>
    <x v="4"/>
    <s v="Gordon"/>
    <s v="Beswick"/>
    <x v="0"/>
    <n v="19594"/>
    <s v="On Account"/>
    <n v="15000"/>
    <n v="1959.4"/>
    <n v="4594"/>
  </r>
  <r>
    <d v="2021-03-01T00:00:00"/>
    <x v="3"/>
    <s v="Derek"/>
    <s v="Godwin"/>
    <x v="0"/>
    <n v="21654.400000000001"/>
    <s v="Cash"/>
    <n v="15000"/>
    <n v="2165.44"/>
    <n v="6654.4000000000015"/>
  </r>
  <r>
    <d v="2021-03-01T00:00:00"/>
    <x v="1"/>
    <s v="Bryan"/>
    <s v="Maldonado"/>
    <x v="0"/>
    <n v="27930"/>
    <s v="Credit Card"/>
    <n v="15000"/>
    <n v="2793"/>
    <n v="12930"/>
  </r>
  <r>
    <d v="2021-03-01T00:00:00"/>
    <x v="2"/>
    <s v="Ashley"/>
    <s v="Almanza"/>
    <x v="0"/>
    <n v="39065.899999999994"/>
    <s v="Cash"/>
    <n v="15000"/>
    <n v="3906.5899999999997"/>
    <n v="24065.899999999994"/>
  </r>
  <r>
    <d v="2021-03-01T00:00:00"/>
    <x v="4"/>
    <s v="Gordon"/>
    <s v="Beswick"/>
    <x v="0"/>
    <n v="44422"/>
    <s v="On Account"/>
    <n v="15000"/>
    <n v="4442.2"/>
    <n v="29422"/>
  </r>
  <r>
    <d v="2021-04-01T00:00:00"/>
    <x v="1"/>
    <s v="Bryan"/>
    <s v="Maldonado"/>
    <x v="0"/>
    <n v="7029.9"/>
    <s v="On Account"/>
    <n v="15000"/>
    <n v="0"/>
    <n v="-7970.1"/>
  </r>
  <r>
    <d v="2021-04-01T00:00:00"/>
    <x v="1"/>
    <s v="Bryan"/>
    <s v="Maldonado"/>
    <x v="0"/>
    <n v="11914.400000000001"/>
    <s v="Cash"/>
    <n v="15000"/>
    <n v="0"/>
    <n v="-3085.5999999999985"/>
  </r>
  <r>
    <d v="2021-04-01T00:00:00"/>
    <x v="2"/>
    <s v="Ashley"/>
    <s v="Almanza"/>
    <x v="0"/>
    <n v="15919.7"/>
    <s v="Credit Card"/>
    <n v="15000"/>
    <n v="1591.9700000000003"/>
    <n v="919.70000000000073"/>
  </r>
  <r>
    <d v="2021-04-01T00:00:00"/>
    <x v="0"/>
    <s v="Reza"/>
    <s v="Jafari"/>
    <x v="0"/>
    <n v="17776"/>
    <s v="On Account"/>
    <n v="15000"/>
    <n v="1777.6000000000001"/>
    <n v="2776"/>
  </r>
  <r>
    <d v="2021-04-01T00:00:00"/>
    <x v="4"/>
    <s v="Gordon"/>
    <s v="Beswick"/>
    <x v="0"/>
    <n v="36666"/>
    <s v="Cash"/>
    <n v="15000"/>
    <n v="3666.6000000000004"/>
    <n v="21666"/>
  </r>
  <r>
    <d v="2021-04-01T00:00:00"/>
    <x v="0"/>
    <s v="Reza"/>
    <s v="Jafari"/>
    <x v="0"/>
    <n v="38227.699999999997"/>
    <s v="Credit Card"/>
    <n v="15000"/>
    <n v="3822.77"/>
    <n v="23227.699999999997"/>
  </r>
  <r>
    <d v="2021-04-01T00:00:00"/>
    <x v="0"/>
    <s v="Reza"/>
    <s v="Jafari"/>
    <x v="0"/>
    <n v="51531.199999999997"/>
    <s v="On Account"/>
    <n v="15000"/>
    <n v="5153.12"/>
    <n v="36531.199999999997"/>
  </r>
  <r>
    <d v="2021-05-01T00:00:00"/>
    <x v="3"/>
    <s v="Derek"/>
    <s v="Godwin"/>
    <x v="0"/>
    <n v="8686.6"/>
    <s v="Cash"/>
    <n v="15000"/>
    <n v="0"/>
    <n v="-6313.4"/>
  </r>
  <r>
    <d v="2021-05-01T00:00:00"/>
    <x v="0"/>
    <s v="Reza"/>
    <s v="Jafari"/>
    <x v="0"/>
    <n v="12422.2"/>
    <s v="On Account"/>
    <n v="15000"/>
    <n v="0"/>
    <n v="-2577.7999999999993"/>
  </r>
  <r>
    <d v="2021-05-01T00:00:00"/>
    <x v="4"/>
    <s v="Gordon"/>
    <s v="Beswick"/>
    <x v="0"/>
    <n v="15120"/>
    <s v="Cash"/>
    <n v="15000"/>
    <n v="1512"/>
    <n v="120"/>
  </r>
  <r>
    <d v="2021-05-01T00:00:00"/>
    <x v="3"/>
    <s v="Derek"/>
    <s v="Godwin"/>
    <x v="0"/>
    <n v="16604.400000000001"/>
    <s v="On Account"/>
    <n v="15000"/>
    <n v="1660.4400000000003"/>
    <n v="1604.4000000000015"/>
  </r>
  <r>
    <d v="2021-05-01T00:00:00"/>
    <x v="0"/>
    <s v="Reza"/>
    <s v="Jafari"/>
    <x v="0"/>
    <n v="19584"/>
    <s v="Cash"/>
    <n v="15000"/>
    <n v="1958.4"/>
    <n v="4584"/>
  </r>
  <r>
    <d v="2021-05-01T00:00:00"/>
    <x v="2"/>
    <s v="Ashley"/>
    <s v="Almanza"/>
    <x v="0"/>
    <n v="26546.6"/>
    <s v="Cash"/>
    <n v="15000"/>
    <n v="2654.66"/>
    <n v="11546.599999999999"/>
  </r>
  <r>
    <d v="2021-05-01T00:00:00"/>
    <x v="2"/>
    <s v="Ashley"/>
    <s v="Almanza"/>
    <x v="0"/>
    <n v="31200"/>
    <s v="Cash"/>
    <n v="15000"/>
    <n v="3120"/>
    <n v="16200"/>
  </r>
  <r>
    <d v="2021-06-01T00:00:00"/>
    <x v="2"/>
    <s v="Ashley"/>
    <s v="Almanza"/>
    <x v="0"/>
    <n v="2070.2999999999997"/>
    <s v="Credit Card"/>
    <n v="15000"/>
    <n v="0"/>
    <n v="-12929.7"/>
  </r>
  <r>
    <d v="2021-06-01T00:00:00"/>
    <x v="0"/>
    <s v="Reza"/>
    <s v="Jafari"/>
    <x v="0"/>
    <n v="9499"/>
    <s v="Cash"/>
    <n v="15000"/>
    <n v="0"/>
    <n v="-5501"/>
  </r>
  <r>
    <d v="2021-06-01T00:00:00"/>
    <x v="0"/>
    <s v="Reza"/>
    <s v="Jafari"/>
    <x v="0"/>
    <n v="17904.7"/>
    <s v="On Account"/>
    <n v="15000"/>
    <n v="1790.4700000000003"/>
    <n v="2904.7000000000007"/>
  </r>
  <r>
    <d v="2021-06-01T00:00:00"/>
    <x v="0"/>
    <s v="Reza"/>
    <s v="Jafari"/>
    <x v="0"/>
    <n v="18878.399999999998"/>
    <s v="Cash"/>
    <n v="15000"/>
    <n v="1887.84"/>
    <n v="3878.3999999999978"/>
  </r>
  <r>
    <d v="2021-06-01T00:00:00"/>
    <x v="0"/>
    <s v="Reza"/>
    <s v="Jafari"/>
    <x v="0"/>
    <n v="23445"/>
    <s v="Cash"/>
    <n v="15000"/>
    <n v="2344.5"/>
    <n v="8445"/>
  </r>
  <r>
    <d v="2021-06-01T00:00:00"/>
    <x v="0"/>
    <s v="Reza"/>
    <s v="Jafari"/>
    <x v="0"/>
    <n v="34162"/>
    <s v="Cash"/>
    <n v="15000"/>
    <n v="3416.2000000000003"/>
    <n v="19162"/>
  </r>
  <r>
    <d v="2021-07-01T00:00:00"/>
    <x v="0"/>
    <s v="Reza"/>
    <s v="Jafari"/>
    <x v="0"/>
    <n v="3055.2"/>
    <s v="Credit Card"/>
    <n v="15000"/>
    <n v="0"/>
    <n v="-11944.8"/>
  </r>
  <r>
    <d v="2021-07-01T00:00:00"/>
    <x v="2"/>
    <s v="Ashley"/>
    <s v="Almanza"/>
    <x v="0"/>
    <n v="4843.4000000000005"/>
    <s v="On Account"/>
    <n v="15000"/>
    <n v="0"/>
    <n v="-10156.599999999999"/>
  </r>
  <r>
    <d v="2021-07-01T00:00:00"/>
    <x v="3"/>
    <s v="Derek"/>
    <s v="Godwin"/>
    <x v="0"/>
    <n v="5215.2"/>
    <s v="On Account"/>
    <n v="15000"/>
    <n v="0"/>
    <n v="-9784.7999999999993"/>
  </r>
  <r>
    <d v="2021-07-01T00:00:00"/>
    <x v="0"/>
    <s v="Reza"/>
    <s v="Jafari"/>
    <x v="0"/>
    <n v="7199.7000000000007"/>
    <s v="On Account"/>
    <n v="15000"/>
    <n v="0"/>
    <n v="-7800.2999999999993"/>
  </r>
  <r>
    <d v="2021-07-01T00:00:00"/>
    <x v="1"/>
    <s v="Bryan"/>
    <s v="Maldonado"/>
    <x v="0"/>
    <n v="14670"/>
    <s v="Credit Card"/>
    <n v="15000"/>
    <n v="0"/>
    <n v="-330"/>
  </r>
  <r>
    <d v="2021-07-01T00:00:00"/>
    <x v="2"/>
    <s v="Ashley"/>
    <s v="Almanza"/>
    <x v="0"/>
    <n v="16614.400000000001"/>
    <s v="Credit Card"/>
    <n v="15000"/>
    <n v="1661.4400000000003"/>
    <n v="1614.4000000000015"/>
  </r>
  <r>
    <d v="2021-07-01T00:00:00"/>
    <x v="1"/>
    <s v="Bryan"/>
    <s v="Maldonado"/>
    <x v="0"/>
    <n v="20076.7"/>
    <s v="On Account"/>
    <n v="15000"/>
    <n v="2007.67"/>
    <n v="5076.7000000000007"/>
  </r>
  <r>
    <d v="2021-07-01T00:00:00"/>
    <x v="0"/>
    <s v="Reza"/>
    <s v="Jafari"/>
    <x v="0"/>
    <n v="21482.999999999996"/>
    <s v="On Account"/>
    <n v="15000"/>
    <n v="2148.2999999999997"/>
    <n v="6482.9999999999964"/>
  </r>
  <r>
    <d v="2021-07-01T00:00:00"/>
    <x v="4"/>
    <s v="Gordon"/>
    <s v="Beswick"/>
    <x v="0"/>
    <n v="30776.799999999999"/>
    <s v="Credit Card"/>
    <n v="15000"/>
    <n v="3077.6800000000003"/>
    <n v="15776.8"/>
  </r>
  <r>
    <d v="2021-08-01T00:00:00"/>
    <x v="1"/>
    <s v="Bryan"/>
    <s v="Maldonado"/>
    <x v="0"/>
    <n v="8625"/>
    <s v="Cash"/>
    <n v="15000"/>
    <n v="0"/>
    <n v="-6375"/>
  </r>
  <r>
    <d v="2021-08-01T00:00:00"/>
    <x v="0"/>
    <s v="Reza"/>
    <s v="Jafari"/>
    <x v="0"/>
    <n v="9794"/>
    <s v="Cash"/>
    <n v="15000"/>
    <n v="0"/>
    <n v="-5206"/>
  </r>
  <r>
    <d v="2021-08-01T00:00:00"/>
    <x v="1"/>
    <s v="Bryan"/>
    <s v="Maldonado"/>
    <x v="0"/>
    <n v="16321.6"/>
    <s v="Credit Card"/>
    <n v="15000"/>
    <n v="1632.16"/>
    <n v="1321.6000000000004"/>
  </r>
  <r>
    <d v="2021-08-01T00:00:00"/>
    <x v="0"/>
    <s v="Reza"/>
    <s v="Jafari"/>
    <x v="0"/>
    <n v="19678.8"/>
    <s v="Cash"/>
    <n v="15000"/>
    <n v="1967.88"/>
    <n v="4678.7999999999993"/>
  </r>
  <r>
    <d v="2021-08-01T00:00:00"/>
    <x v="1"/>
    <s v="Bryan"/>
    <s v="Maldonado"/>
    <x v="0"/>
    <n v="33694.800000000003"/>
    <s v="Cash"/>
    <n v="15000"/>
    <n v="3369.4800000000005"/>
    <n v="18694.800000000003"/>
  </r>
  <r>
    <d v="2021-08-01T00:00:00"/>
    <x v="3"/>
    <s v="Derek"/>
    <s v="Godwin"/>
    <x v="0"/>
    <n v="39236"/>
    <s v="On Account"/>
    <n v="15000"/>
    <n v="3923.6000000000004"/>
    <n v="24236"/>
  </r>
  <r>
    <d v="2021-08-01T00:00:00"/>
    <x v="0"/>
    <s v="Reza"/>
    <s v="Jafari"/>
    <x v="0"/>
    <n v="43088.2"/>
    <s v="Credit Card"/>
    <n v="15000"/>
    <n v="4308.82"/>
    <n v="28088.199999999997"/>
  </r>
  <r>
    <d v="2021-09-01T00:00:00"/>
    <x v="2"/>
    <s v="Ashley"/>
    <s v="Almanza"/>
    <x v="0"/>
    <n v="5572.3"/>
    <s v="Credit Card"/>
    <n v="15000"/>
    <n v="0"/>
    <n v="-9427.7000000000007"/>
  </r>
  <r>
    <d v="2021-09-01T00:00:00"/>
    <x v="0"/>
    <s v="Reza"/>
    <s v="Jafari"/>
    <x v="0"/>
    <n v="7496.9999999999991"/>
    <s v="Cash"/>
    <n v="15000"/>
    <n v="0"/>
    <n v="-7503.0000000000009"/>
  </r>
  <r>
    <d v="2021-09-01T00:00:00"/>
    <x v="3"/>
    <s v="Derek"/>
    <s v="Godwin"/>
    <x v="0"/>
    <n v="9651.1999999999989"/>
    <s v="Credit Card"/>
    <n v="15000"/>
    <n v="0"/>
    <n v="-5348.8000000000011"/>
  </r>
  <r>
    <d v="2021-09-01T00:00:00"/>
    <x v="2"/>
    <s v="Ashley"/>
    <s v="Almanza"/>
    <x v="0"/>
    <n v="10492.199999999997"/>
    <s v="On Account"/>
    <n v="15000"/>
    <n v="0"/>
    <n v="-4507.8000000000029"/>
  </r>
  <r>
    <d v="2021-09-01T00:00:00"/>
    <x v="2"/>
    <s v="Ashley"/>
    <s v="Almanza"/>
    <x v="0"/>
    <n v="18396.7"/>
    <s v="Credit Card"/>
    <n v="15000"/>
    <n v="1839.67"/>
    <n v="3396.7000000000007"/>
  </r>
  <r>
    <d v="2021-09-01T00:00:00"/>
    <x v="3"/>
    <s v="Derek"/>
    <s v="Godwin"/>
    <x v="0"/>
    <n v="23849.599999999999"/>
    <s v="Credit Card"/>
    <n v="15000"/>
    <n v="2384.96"/>
    <n v="8849.5999999999985"/>
  </r>
  <r>
    <d v="2021-09-01T00:00:00"/>
    <x v="1"/>
    <s v="Bryan"/>
    <s v="Maldonado"/>
    <x v="0"/>
    <n v="23882.399999999998"/>
    <s v="On Account"/>
    <n v="15000"/>
    <n v="2388.2399999999998"/>
    <n v="8882.3999999999978"/>
  </r>
  <r>
    <d v="2021-09-01T00:00:00"/>
    <x v="3"/>
    <s v="Derek"/>
    <s v="Godwin"/>
    <x v="0"/>
    <n v="34041.300000000003"/>
    <s v="On Account"/>
    <n v="15000"/>
    <n v="3404.1300000000006"/>
    <n v="19041.300000000003"/>
  </r>
  <r>
    <d v="2021-10-01T00:00:00"/>
    <x v="4"/>
    <s v="Gordon"/>
    <s v="Beswick"/>
    <x v="0"/>
    <n v="3243.6000000000004"/>
    <s v="Credit Card"/>
    <n v="15000"/>
    <n v="0"/>
    <n v="-11756.4"/>
  </r>
  <r>
    <d v="2021-10-01T00:00:00"/>
    <x v="0"/>
    <s v="Reza"/>
    <s v="Jafari"/>
    <x v="0"/>
    <n v="12633.599999999999"/>
    <s v="Cash"/>
    <n v="15000"/>
    <n v="0"/>
    <n v="-2366.4000000000015"/>
  </r>
  <r>
    <d v="2021-10-01T00:00:00"/>
    <x v="4"/>
    <s v="Gordon"/>
    <s v="Beswick"/>
    <x v="0"/>
    <n v="12806.399999999998"/>
    <s v="On Account"/>
    <n v="15000"/>
    <n v="0"/>
    <n v="-2193.6000000000022"/>
  </r>
  <r>
    <d v="2021-10-01T00:00:00"/>
    <x v="3"/>
    <s v="Derek"/>
    <s v="Godwin"/>
    <x v="0"/>
    <n v="20031.199999999997"/>
    <s v="On Account"/>
    <n v="15000"/>
    <n v="2003.12"/>
    <n v="5031.1999999999971"/>
  </r>
  <r>
    <d v="2021-10-01T00:00:00"/>
    <x v="2"/>
    <s v="Ashley"/>
    <s v="Almanza"/>
    <x v="0"/>
    <n v="21485.200000000001"/>
    <s v="Cash"/>
    <n v="15000"/>
    <n v="2148.52"/>
    <n v="6485.2000000000007"/>
  </r>
  <r>
    <d v="2021-10-01T00:00:00"/>
    <x v="1"/>
    <s v="Bryan"/>
    <s v="Maldonado"/>
    <x v="0"/>
    <n v="22607.200000000004"/>
    <s v="Credit Card"/>
    <n v="15000"/>
    <n v="2260.7200000000007"/>
    <n v="7607.2000000000044"/>
  </r>
  <r>
    <d v="2021-11-01T00:00:00"/>
    <x v="3"/>
    <s v="Derek"/>
    <s v="Godwin"/>
    <x v="0"/>
    <n v="5130"/>
    <s v="Cash"/>
    <n v="15000"/>
    <n v="0"/>
    <n v="-9870"/>
  </r>
  <r>
    <d v="2021-11-01T00:00:00"/>
    <x v="2"/>
    <s v="Ashley"/>
    <s v="Almanza"/>
    <x v="0"/>
    <n v="8810.9"/>
    <s v="Credit Card"/>
    <n v="15000"/>
    <n v="0"/>
    <n v="-6189.1"/>
  </r>
  <r>
    <d v="2021-11-01T00:00:00"/>
    <x v="4"/>
    <s v="Gordon"/>
    <s v="Beswick"/>
    <x v="0"/>
    <n v="16606"/>
    <s v="Credit Card"/>
    <n v="15000"/>
    <n v="1660.6000000000001"/>
    <n v="1606"/>
  </r>
  <r>
    <d v="2021-11-01T00:00:00"/>
    <x v="3"/>
    <s v="Derek"/>
    <s v="Godwin"/>
    <x v="0"/>
    <n v="17766"/>
    <s v="Credit Card"/>
    <n v="15000"/>
    <n v="1776.6000000000001"/>
    <n v="2766"/>
  </r>
  <r>
    <d v="2021-11-01T00:00:00"/>
    <x v="0"/>
    <s v="Reza"/>
    <s v="Jafari"/>
    <x v="0"/>
    <n v="20916"/>
    <s v="Credit Card"/>
    <n v="15000"/>
    <n v="2091.6"/>
    <n v="5916"/>
  </r>
  <r>
    <d v="2021-11-01T00:00:00"/>
    <x v="0"/>
    <s v="Reza"/>
    <s v="Jafari"/>
    <x v="0"/>
    <n v="22396.5"/>
    <s v="On Account"/>
    <n v="15000"/>
    <n v="2239.65"/>
    <n v="7396.5"/>
  </r>
  <r>
    <d v="2021-11-01T00:00:00"/>
    <x v="3"/>
    <s v="Derek"/>
    <s v="Godwin"/>
    <x v="0"/>
    <n v="25633.5"/>
    <s v="Cash"/>
    <n v="15000"/>
    <n v="2563.3500000000004"/>
    <n v="10633.5"/>
  </r>
  <r>
    <d v="2021-11-01T00:00:00"/>
    <x v="0"/>
    <s v="Reza"/>
    <s v="Jafari"/>
    <x v="0"/>
    <n v="37374.399999999994"/>
    <s v="On Account"/>
    <n v="15000"/>
    <n v="3737.4399999999996"/>
    <n v="22374.399999999994"/>
  </r>
  <r>
    <d v="2021-12-01T00:00:00"/>
    <x v="3"/>
    <s v="Derek"/>
    <s v="Godwin"/>
    <x v="0"/>
    <n v="3817.9999999999995"/>
    <s v="Credit Card"/>
    <n v="15000"/>
    <n v="0"/>
    <n v="-11182"/>
  </r>
  <r>
    <d v="2021-12-01T00:00:00"/>
    <x v="0"/>
    <s v="Reza"/>
    <s v="Jafari"/>
    <x v="0"/>
    <n v="8683.1999999999989"/>
    <s v="Cash"/>
    <n v="15000"/>
    <n v="0"/>
    <n v="-6316.8000000000011"/>
  </r>
  <r>
    <d v="2021-12-01T00:00:00"/>
    <x v="2"/>
    <s v="Ashley"/>
    <s v="Almanza"/>
    <x v="0"/>
    <n v="11210"/>
    <s v="On Account"/>
    <n v="15000"/>
    <n v="0"/>
    <n v="-3790"/>
  </r>
  <r>
    <d v="2021-12-01T00:00:00"/>
    <x v="4"/>
    <s v="Gordon"/>
    <s v="Beswick"/>
    <x v="0"/>
    <n v="12765.2"/>
    <s v="On Account"/>
    <n v="15000"/>
    <n v="0"/>
    <n v="-2234.7999999999993"/>
  </r>
  <r>
    <d v="2021-12-01T00:00:00"/>
    <x v="3"/>
    <s v="Derek"/>
    <s v="Godwin"/>
    <x v="0"/>
    <n v="15921.999999999998"/>
    <s v="On Account"/>
    <n v="15000"/>
    <n v="1592.1999999999998"/>
    <n v="921.99999999999818"/>
  </r>
  <r>
    <d v="2021-12-01T00:00:00"/>
    <x v="4"/>
    <s v="Gordon"/>
    <s v="Beswick"/>
    <x v="0"/>
    <n v="31970.799999999999"/>
    <s v="Credit Card"/>
    <n v="15000"/>
    <n v="3197.08"/>
    <n v="16970.8"/>
  </r>
  <r>
    <d v="2021-12-01T00:00:00"/>
    <x v="2"/>
    <s v="Ashley"/>
    <s v="Almanza"/>
    <x v="0"/>
    <n v="41520"/>
    <s v="Credit Card"/>
    <n v="15000"/>
    <n v="4152"/>
    <n v="26520"/>
  </r>
  <r>
    <d v="2021-12-01T00:00:00"/>
    <x v="2"/>
    <s v="Ashley"/>
    <s v="Almanza"/>
    <x v="0"/>
    <n v="45800.999999999993"/>
    <s v="Cash"/>
    <n v="15000"/>
    <n v="4580.0999999999995"/>
    <n v="30800.999999999993"/>
  </r>
  <r>
    <d v="2021-01-01T00:00:00"/>
    <x v="5"/>
    <s v="Chloe"/>
    <s v="Fusaro"/>
    <x v="1"/>
    <n v="13310.4"/>
    <s v="Credit Card"/>
    <n v="15000"/>
    <n v="0"/>
    <n v="-1689.6000000000004"/>
  </r>
  <r>
    <d v="2021-01-01T00:00:00"/>
    <x v="6"/>
    <s v="David"/>
    <s v="Wilkinson"/>
    <x v="1"/>
    <n v="20366.100000000002"/>
    <s v="On Account"/>
    <n v="15000"/>
    <n v="2036.6100000000004"/>
    <n v="5366.1000000000022"/>
  </r>
  <r>
    <d v="2021-01-01T00:00:00"/>
    <x v="6"/>
    <s v="David"/>
    <s v="Wilkinson"/>
    <x v="1"/>
    <n v="20880"/>
    <s v="Credit Card"/>
    <n v="15000"/>
    <n v="2088"/>
    <n v="5880"/>
  </r>
  <r>
    <d v="2021-01-01T00:00:00"/>
    <x v="5"/>
    <s v="Chloe"/>
    <s v="Fusaro"/>
    <x v="1"/>
    <n v="23076.199999999997"/>
    <s v="Credit Card"/>
    <n v="15000"/>
    <n v="2307.62"/>
    <n v="8076.1999999999971"/>
  </r>
  <r>
    <d v="2021-01-01T00:00:00"/>
    <x v="5"/>
    <s v="Chloe"/>
    <s v="Fusaro"/>
    <x v="1"/>
    <n v="25560"/>
    <s v="Credit Card"/>
    <n v="15000"/>
    <n v="2556"/>
    <n v="10560"/>
  </r>
  <r>
    <d v="2021-02-01T00:00:00"/>
    <x v="6"/>
    <s v="David"/>
    <s v="Wilkinson"/>
    <x v="1"/>
    <n v="13479.400000000001"/>
    <s v="On Account"/>
    <n v="15000"/>
    <n v="0"/>
    <n v="-1520.5999999999985"/>
  </r>
  <r>
    <d v="2021-02-01T00:00:00"/>
    <x v="5"/>
    <s v="Chloe"/>
    <s v="Fusaro"/>
    <x v="1"/>
    <n v="16604.400000000001"/>
    <s v="Cash"/>
    <n v="15000"/>
    <n v="1660.4400000000003"/>
    <n v="1604.4000000000015"/>
  </r>
  <r>
    <d v="2021-02-01T00:00:00"/>
    <x v="7"/>
    <s v="Sarah"/>
    <s v="Gibbs"/>
    <x v="1"/>
    <n v="22176"/>
    <s v="Cash"/>
    <n v="15000"/>
    <n v="2217.6"/>
    <n v="7176"/>
  </r>
  <r>
    <d v="2021-02-01T00:00:00"/>
    <x v="6"/>
    <s v="David"/>
    <s v="Wilkinson"/>
    <x v="1"/>
    <n v="24131.000000000004"/>
    <s v="Cash"/>
    <n v="15000"/>
    <n v="2413.1000000000004"/>
    <n v="9131.0000000000036"/>
  </r>
  <r>
    <d v="2021-02-01T00:00:00"/>
    <x v="5"/>
    <s v="Chloe"/>
    <s v="Fusaro"/>
    <x v="1"/>
    <n v="34353.5"/>
    <s v="Cash"/>
    <n v="15000"/>
    <n v="3435.3500000000004"/>
    <n v="19353.5"/>
  </r>
  <r>
    <d v="2021-03-01T00:00:00"/>
    <x v="8"/>
    <s v="Charlotte"/>
    <s v="Edwards"/>
    <x v="1"/>
    <n v="7416.9"/>
    <s v="On Account"/>
    <n v="15000"/>
    <n v="0"/>
    <n v="-7583.1"/>
  </r>
  <r>
    <d v="2021-03-01T00:00:00"/>
    <x v="9"/>
    <s v="Jonah"/>
    <s v="Seitz"/>
    <x v="1"/>
    <n v="8284.5"/>
    <s v="Cash"/>
    <n v="15000"/>
    <n v="0"/>
    <n v="-6715.5"/>
  </r>
  <r>
    <d v="2021-03-01T00:00:00"/>
    <x v="5"/>
    <s v="Chloe"/>
    <s v="Fusaro"/>
    <x v="1"/>
    <n v="10758.7"/>
    <s v="Cash"/>
    <n v="15000"/>
    <n v="0"/>
    <n v="-4241.2999999999993"/>
  </r>
  <r>
    <d v="2021-03-01T00:00:00"/>
    <x v="6"/>
    <s v="David"/>
    <s v="Wilkinson"/>
    <x v="1"/>
    <n v="12124.2"/>
    <s v="On Account"/>
    <n v="15000"/>
    <n v="0"/>
    <n v="-2875.7999999999993"/>
  </r>
  <r>
    <d v="2021-03-01T00:00:00"/>
    <x v="8"/>
    <s v="Charlotte"/>
    <s v="Edwards"/>
    <x v="1"/>
    <n v="14391.999999999998"/>
    <s v="Credit Card"/>
    <n v="15000"/>
    <n v="0"/>
    <n v="-608.00000000000182"/>
  </r>
  <r>
    <d v="2021-03-01T00:00:00"/>
    <x v="9"/>
    <s v="Jonah"/>
    <s v="Seitz"/>
    <x v="1"/>
    <n v="15246"/>
    <s v="Credit Card"/>
    <n v="15000"/>
    <n v="1524.6000000000001"/>
    <n v="246"/>
  </r>
  <r>
    <d v="2021-03-01T00:00:00"/>
    <x v="8"/>
    <s v="Charlotte"/>
    <s v="Edwards"/>
    <x v="1"/>
    <n v="17335.2"/>
    <s v="On Account"/>
    <n v="15000"/>
    <n v="1733.5200000000002"/>
    <n v="2335.2000000000007"/>
  </r>
  <r>
    <d v="2021-03-01T00:00:00"/>
    <x v="9"/>
    <s v="Jonah"/>
    <s v="Seitz"/>
    <x v="1"/>
    <n v="40831"/>
    <s v="Credit Card"/>
    <n v="15000"/>
    <n v="4083.1000000000004"/>
    <n v="25831"/>
  </r>
  <r>
    <d v="2021-04-01T00:00:00"/>
    <x v="5"/>
    <s v="Chloe"/>
    <s v="Fusaro"/>
    <x v="1"/>
    <n v="8520"/>
    <s v="On Account"/>
    <n v="15000"/>
    <n v="0"/>
    <n v="-6480"/>
  </r>
  <r>
    <d v="2021-04-01T00:00:00"/>
    <x v="8"/>
    <s v="Charlotte"/>
    <s v="Edwards"/>
    <x v="1"/>
    <n v="14301.599999999999"/>
    <s v="On Account"/>
    <n v="15000"/>
    <n v="0"/>
    <n v="-698.40000000000146"/>
  </r>
  <r>
    <d v="2021-04-01T00:00:00"/>
    <x v="8"/>
    <s v="Charlotte"/>
    <s v="Edwards"/>
    <x v="1"/>
    <n v="17204.399999999998"/>
    <s v="Credit Card"/>
    <n v="15000"/>
    <n v="1720.4399999999998"/>
    <n v="2204.3999999999978"/>
  </r>
  <r>
    <d v="2021-04-01T00:00:00"/>
    <x v="9"/>
    <s v="Jonah"/>
    <s v="Seitz"/>
    <x v="1"/>
    <n v="19080"/>
    <s v="Cash"/>
    <n v="15000"/>
    <n v="1908"/>
    <n v="4080"/>
  </r>
  <r>
    <d v="2021-04-01T00:00:00"/>
    <x v="5"/>
    <s v="Chloe"/>
    <s v="Fusaro"/>
    <x v="1"/>
    <n v="19210.400000000001"/>
    <s v="Credit Card"/>
    <n v="15000"/>
    <n v="1921.0400000000002"/>
    <n v="4210.4000000000015"/>
  </r>
  <r>
    <d v="2021-04-01T00:00:00"/>
    <x v="5"/>
    <s v="Chloe"/>
    <s v="Fusaro"/>
    <x v="1"/>
    <n v="32282.799999999996"/>
    <s v="Cash"/>
    <n v="15000"/>
    <n v="3228.2799999999997"/>
    <n v="17282.799999999996"/>
  </r>
  <r>
    <d v="2021-04-01T00:00:00"/>
    <x v="7"/>
    <s v="Sarah"/>
    <s v="Gibbs"/>
    <x v="1"/>
    <n v="32524.1"/>
    <s v="Credit Card"/>
    <n v="15000"/>
    <n v="3252.41"/>
    <n v="17524.099999999999"/>
  </r>
  <r>
    <d v="2021-04-01T00:00:00"/>
    <x v="5"/>
    <s v="Chloe"/>
    <s v="Fusaro"/>
    <x v="1"/>
    <n v="35153.799999999996"/>
    <s v="Credit Card"/>
    <n v="15000"/>
    <n v="3515.3799999999997"/>
    <n v="20153.799999999996"/>
  </r>
  <r>
    <d v="2021-04-01T00:00:00"/>
    <x v="5"/>
    <s v="Chloe"/>
    <s v="Fusaro"/>
    <x v="1"/>
    <n v="35820"/>
    <s v="On Account"/>
    <n v="15000"/>
    <n v="3582"/>
    <n v="20820"/>
  </r>
  <r>
    <d v="2021-04-01T00:00:00"/>
    <x v="6"/>
    <s v="David"/>
    <s v="Wilkinson"/>
    <x v="1"/>
    <n v="42690.400000000001"/>
    <s v="On Account"/>
    <n v="15000"/>
    <n v="4269.04"/>
    <n v="27690.400000000001"/>
  </r>
  <r>
    <d v="2021-05-01T00:00:00"/>
    <x v="6"/>
    <s v="David"/>
    <s v="Wilkinson"/>
    <x v="1"/>
    <n v="9270.1"/>
    <s v="Credit Card"/>
    <n v="15000"/>
    <n v="0"/>
    <n v="-5729.9"/>
  </r>
  <r>
    <d v="2021-05-01T00:00:00"/>
    <x v="6"/>
    <s v="David"/>
    <s v="Wilkinson"/>
    <x v="1"/>
    <n v="11235"/>
    <s v="On Account"/>
    <n v="15000"/>
    <n v="0"/>
    <n v="-3765"/>
  </r>
  <r>
    <d v="2021-05-01T00:00:00"/>
    <x v="7"/>
    <s v="Sarah"/>
    <s v="Gibbs"/>
    <x v="1"/>
    <n v="12019.799999999997"/>
    <s v="Credit Card"/>
    <n v="15000"/>
    <n v="0"/>
    <n v="-2980.2000000000025"/>
  </r>
  <r>
    <d v="2021-05-01T00:00:00"/>
    <x v="5"/>
    <s v="Chloe"/>
    <s v="Fusaro"/>
    <x v="1"/>
    <n v="27930"/>
    <s v="Cash"/>
    <n v="15000"/>
    <n v="2793"/>
    <n v="12930"/>
  </r>
  <r>
    <d v="2021-06-01T00:00:00"/>
    <x v="9"/>
    <s v="Jonah"/>
    <s v="Seitz"/>
    <x v="1"/>
    <n v="7581.9999999999991"/>
    <s v="Credit Card"/>
    <n v="15000"/>
    <n v="0"/>
    <n v="-7418.0000000000009"/>
  </r>
  <r>
    <d v="2021-06-01T00:00:00"/>
    <x v="5"/>
    <s v="Chloe"/>
    <s v="Fusaro"/>
    <x v="1"/>
    <n v="8721.6"/>
    <s v="On Account"/>
    <n v="15000"/>
    <n v="0"/>
    <n v="-6278.4"/>
  </r>
  <r>
    <d v="2021-06-01T00:00:00"/>
    <x v="9"/>
    <s v="Jonah"/>
    <s v="Seitz"/>
    <x v="1"/>
    <n v="10500"/>
    <s v="Cash"/>
    <n v="15000"/>
    <n v="0"/>
    <n v="-4500"/>
  </r>
  <r>
    <d v="2021-06-01T00:00:00"/>
    <x v="6"/>
    <s v="David"/>
    <s v="Wilkinson"/>
    <x v="1"/>
    <n v="13466.999999999998"/>
    <s v="On Account"/>
    <n v="15000"/>
    <n v="0"/>
    <n v="-1533.0000000000018"/>
  </r>
  <r>
    <d v="2021-06-01T00:00:00"/>
    <x v="9"/>
    <s v="Jonah"/>
    <s v="Seitz"/>
    <x v="1"/>
    <n v="16036.8"/>
    <s v="Cash"/>
    <n v="15000"/>
    <n v="1603.68"/>
    <n v="1036.7999999999993"/>
  </r>
  <r>
    <d v="2021-06-01T00:00:00"/>
    <x v="8"/>
    <s v="Charlotte"/>
    <s v="Edwards"/>
    <x v="1"/>
    <n v="16846.8"/>
    <s v="Cash"/>
    <n v="15000"/>
    <n v="1684.68"/>
    <n v="1846.7999999999993"/>
  </r>
  <r>
    <d v="2021-07-01T00:00:00"/>
    <x v="6"/>
    <s v="David"/>
    <s v="Wilkinson"/>
    <x v="1"/>
    <n v="15957.2"/>
    <s v="On Account"/>
    <n v="15000"/>
    <n v="1595.7200000000003"/>
    <n v="957.20000000000073"/>
  </r>
  <r>
    <d v="2021-07-01T00:00:00"/>
    <x v="7"/>
    <s v="Sarah"/>
    <s v="Gibbs"/>
    <x v="1"/>
    <n v="16492"/>
    <s v="Credit Card"/>
    <n v="15000"/>
    <n v="1649.2"/>
    <n v="1492"/>
  </r>
  <r>
    <d v="2021-07-01T00:00:00"/>
    <x v="8"/>
    <s v="Charlotte"/>
    <s v="Edwards"/>
    <x v="1"/>
    <n v="21295.4"/>
    <s v="Credit Card"/>
    <n v="15000"/>
    <n v="2129.5400000000004"/>
    <n v="6295.4000000000015"/>
  </r>
  <r>
    <d v="2021-07-01T00:00:00"/>
    <x v="5"/>
    <s v="Chloe"/>
    <s v="Fusaro"/>
    <x v="1"/>
    <n v="25518.800000000003"/>
    <s v="Credit Card"/>
    <n v="15000"/>
    <n v="2551.8800000000006"/>
    <n v="10518.800000000003"/>
  </r>
  <r>
    <d v="2021-07-01T00:00:00"/>
    <x v="5"/>
    <s v="Chloe"/>
    <s v="Fusaro"/>
    <x v="1"/>
    <n v="27676.6"/>
    <s v="Cash"/>
    <n v="15000"/>
    <n v="2767.66"/>
    <n v="12676.599999999999"/>
  </r>
  <r>
    <d v="2021-07-01T00:00:00"/>
    <x v="8"/>
    <s v="Charlotte"/>
    <s v="Edwards"/>
    <x v="1"/>
    <n v="28395"/>
    <s v="On Account"/>
    <n v="15000"/>
    <n v="2839.5"/>
    <n v="13395"/>
  </r>
  <r>
    <d v="2021-07-01T00:00:00"/>
    <x v="7"/>
    <s v="Sarah"/>
    <s v="Gibbs"/>
    <x v="1"/>
    <n v="41826.400000000001"/>
    <s v="On Account"/>
    <n v="15000"/>
    <n v="4182.6400000000003"/>
    <n v="26826.400000000001"/>
  </r>
  <r>
    <d v="2021-07-01T00:00:00"/>
    <x v="7"/>
    <s v="Sarah"/>
    <s v="Gibbs"/>
    <x v="1"/>
    <n v="49055.999999999993"/>
    <s v="Credit Card"/>
    <n v="15000"/>
    <n v="4905.5999999999995"/>
    <n v="34055.999999999993"/>
  </r>
  <r>
    <d v="2021-08-01T00:00:00"/>
    <x v="5"/>
    <s v="Chloe"/>
    <s v="Fusaro"/>
    <x v="1"/>
    <n v="6201"/>
    <s v="On Account"/>
    <n v="15000"/>
    <n v="0"/>
    <n v="-8799"/>
  </r>
  <r>
    <d v="2021-08-01T00:00:00"/>
    <x v="6"/>
    <s v="David"/>
    <s v="Wilkinson"/>
    <x v="1"/>
    <n v="6311.4"/>
    <s v="On Account"/>
    <n v="15000"/>
    <n v="0"/>
    <n v="-8688.6"/>
  </r>
  <r>
    <d v="2021-08-01T00:00:00"/>
    <x v="9"/>
    <s v="Jonah"/>
    <s v="Seitz"/>
    <x v="1"/>
    <n v="7289.6"/>
    <s v="Credit Card"/>
    <n v="15000"/>
    <n v="0"/>
    <n v="-7710.4"/>
  </r>
  <r>
    <d v="2021-08-01T00:00:00"/>
    <x v="9"/>
    <s v="Jonah"/>
    <s v="Seitz"/>
    <x v="1"/>
    <n v="8322.4"/>
    <s v="Credit Card"/>
    <n v="15000"/>
    <n v="0"/>
    <n v="-6677.6"/>
  </r>
  <r>
    <d v="2021-08-01T00:00:00"/>
    <x v="8"/>
    <s v="Charlotte"/>
    <s v="Edwards"/>
    <x v="1"/>
    <n v="8501.9000000000015"/>
    <s v="Cash"/>
    <n v="15000"/>
    <n v="0"/>
    <n v="-6498.0999999999985"/>
  </r>
  <r>
    <d v="2021-08-01T00:00:00"/>
    <x v="5"/>
    <s v="Chloe"/>
    <s v="Fusaro"/>
    <x v="1"/>
    <n v="9708.2999999999993"/>
    <s v="Cash"/>
    <n v="15000"/>
    <n v="0"/>
    <n v="-5291.7000000000007"/>
  </r>
  <r>
    <d v="2021-08-01T00:00:00"/>
    <x v="9"/>
    <s v="Jonah"/>
    <s v="Seitz"/>
    <x v="1"/>
    <n v="12944.399999999998"/>
    <s v="Cash"/>
    <n v="15000"/>
    <n v="0"/>
    <n v="-2055.6000000000022"/>
  </r>
  <r>
    <d v="2021-08-01T00:00:00"/>
    <x v="5"/>
    <s v="Chloe"/>
    <s v="Fusaro"/>
    <x v="1"/>
    <n v="14248"/>
    <s v="Cash"/>
    <n v="15000"/>
    <n v="0"/>
    <n v="-752"/>
  </r>
  <r>
    <d v="2021-08-01T00:00:00"/>
    <x v="9"/>
    <s v="Jonah"/>
    <s v="Seitz"/>
    <x v="1"/>
    <n v="18298.399999999998"/>
    <s v="On Account"/>
    <n v="15000"/>
    <n v="1829.84"/>
    <n v="3298.3999999999978"/>
  </r>
  <r>
    <d v="2021-08-01T00:00:00"/>
    <x v="9"/>
    <s v="Jonah"/>
    <s v="Seitz"/>
    <x v="1"/>
    <n v="18838.399999999998"/>
    <s v="On Account"/>
    <n v="15000"/>
    <n v="1883.84"/>
    <n v="3838.3999999999978"/>
  </r>
  <r>
    <d v="2021-08-01T00:00:00"/>
    <x v="7"/>
    <s v="Sarah"/>
    <s v="Gibbs"/>
    <x v="1"/>
    <n v="24469.599999999999"/>
    <s v="Cash"/>
    <n v="15000"/>
    <n v="2446.96"/>
    <n v="9469.5999999999985"/>
  </r>
  <r>
    <d v="2021-08-01T00:00:00"/>
    <x v="7"/>
    <s v="Sarah"/>
    <s v="Gibbs"/>
    <x v="1"/>
    <n v="31053.4"/>
    <s v="Credit Card"/>
    <n v="15000"/>
    <n v="3105.34"/>
    <n v="16053.400000000001"/>
  </r>
  <r>
    <d v="2021-09-01T00:00:00"/>
    <x v="9"/>
    <s v="Jonah"/>
    <s v="Seitz"/>
    <x v="1"/>
    <n v="3710"/>
    <s v="On Account"/>
    <n v="15000"/>
    <n v="0"/>
    <n v="-11290"/>
  </r>
  <r>
    <d v="2021-09-01T00:00:00"/>
    <x v="8"/>
    <s v="Charlotte"/>
    <s v="Edwards"/>
    <x v="1"/>
    <n v="6600"/>
    <s v="Credit Card"/>
    <n v="15000"/>
    <n v="0"/>
    <n v="-8400"/>
  </r>
  <r>
    <d v="2021-09-01T00:00:00"/>
    <x v="7"/>
    <s v="Sarah"/>
    <s v="Gibbs"/>
    <x v="1"/>
    <n v="8001"/>
    <s v="Credit Card"/>
    <n v="15000"/>
    <n v="0"/>
    <n v="-6999"/>
  </r>
  <r>
    <d v="2021-09-01T00:00:00"/>
    <x v="9"/>
    <s v="Jonah"/>
    <s v="Seitz"/>
    <x v="1"/>
    <n v="8772"/>
    <s v="Cash"/>
    <n v="15000"/>
    <n v="0"/>
    <n v="-6228"/>
  </r>
  <r>
    <d v="2021-09-01T00:00:00"/>
    <x v="9"/>
    <s v="Jonah"/>
    <s v="Seitz"/>
    <x v="1"/>
    <n v="14089.199999999999"/>
    <s v="Cash"/>
    <n v="15000"/>
    <n v="0"/>
    <n v="-910.80000000000109"/>
  </r>
  <r>
    <d v="2021-09-01T00:00:00"/>
    <x v="5"/>
    <s v="Chloe"/>
    <s v="Fusaro"/>
    <x v="1"/>
    <n v="16702.400000000001"/>
    <s v="Cash"/>
    <n v="15000"/>
    <n v="1670.2400000000002"/>
    <n v="1702.4000000000015"/>
  </r>
  <r>
    <d v="2021-09-01T00:00:00"/>
    <x v="5"/>
    <s v="Chloe"/>
    <s v="Fusaro"/>
    <x v="1"/>
    <n v="21216"/>
    <s v="Cash"/>
    <n v="15000"/>
    <n v="2121.6"/>
    <n v="6216"/>
  </r>
  <r>
    <d v="2021-09-01T00:00:00"/>
    <x v="8"/>
    <s v="Charlotte"/>
    <s v="Edwards"/>
    <x v="1"/>
    <n v="21546"/>
    <s v="Credit Card"/>
    <n v="15000"/>
    <n v="2154.6"/>
    <n v="6546"/>
  </r>
  <r>
    <d v="2021-09-01T00:00:00"/>
    <x v="8"/>
    <s v="Charlotte"/>
    <s v="Edwards"/>
    <x v="1"/>
    <n v="31186.6"/>
    <s v="Credit Card"/>
    <n v="15000"/>
    <n v="3118.66"/>
    <n v="16186.599999999999"/>
  </r>
  <r>
    <d v="2021-09-01T00:00:00"/>
    <x v="5"/>
    <s v="Chloe"/>
    <s v="Fusaro"/>
    <x v="1"/>
    <n v="31999.200000000001"/>
    <s v="Cash"/>
    <n v="15000"/>
    <n v="3199.92"/>
    <n v="16999.2"/>
  </r>
  <r>
    <d v="2021-09-01T00:00:00"/>
    <x v="8"/>
    <s v="Charlotte"/>
    <s v="Edwards"/>
    <x v="1"/>
    <n v="37520"/>
    <s v="Cash"/>
    <n v="15000"/>
    <n v="3752"/>
    <n v="22520"/>
  </r>
  <r>
    <d v="2021-09-01T00:00:00"/>
    <x v="8"/>
    <s v="Charlotte"/>
    <s v="Edwards"/>
    <x v="1"/>
    <n v="41215.299999999996"/>
    <s v="On Account"/>
    <n v="15000"/>
    <n v="4121.53"/>
    <n v="26215.299999999996"/>
  </r>
  <r>
    <d v="2021-10-01T00:00:00"/>
    <x v="5"/>
    <s v="Chloe"/>
    <s v="Fusaro"/>
    <x v="1"/>
    <n v="3035.1"/>
    <s v="Cash"/>
    <n v="15000"/>
    <n v="0"/>
    <n v="-11964.9"/>
  </r>
  <r>
    <d v="2021-10-01T00:00:00"/>
    <x v="8"/>
    <s v="Charlotte"/>
    <s v="Edwards"/>
    <x v="1"/>
    <n v="6688"/>
    <s v="Cash"/>
    <n v="15000"/>
    <n v="0"/>
    <n v="-8312"/>
  </r>
  <r>
    <d v="2021-10-01T00:00:00"/>
    <x v="5"/>
    <s v="Chloe"/>
    <s v="Fusaro"/>
    <x v="1"/>
    <n v="7024.2"/>
    <s v="On Account"/>
    <n v="15000"/>
    <n v="0"/>
    <n v="-7975.8"/>
  </r>
  <r>
    <d v="2021-10-01T00:00:00"/>
    <x v="8"/>
    <s v="Charlotte"/>
    <s v="Edwards"/>
    <x v="1"/>
    <n v="7139.0000000000009"/>
    <s v="Credit Card"/>
    <n v="15000"/>
    <n v="0"/>
    <n v="-7860.9999999999991"/>
  </r>
  <r>
    <d v="2021-10-01T00:00:00"/>
    <x v="9"/>
    <s v="Jonah"/>
    <s v="Seitz"/>
    <x v="1"/>
    <n v="10948"/>
    <s v="Cash"/>
    <n v="15000"/>
    <n v="0"/>
    <n v="-4052"/>
  </r>
  <r>
    <d v="2021-10-01T00:00:00"/>
    <x v="9"/>
    <s v="Jonah"/>
    <s v="Seitz"/>
    <x v="1"/>
    <n v="10988.800000000001"/>
    <s v="Credit Card"/>
    <n v="15000"/>
    <n v="0"/>
    <n v="-4011.1999999999989"/>
  </r>
  <r>
    <d v="2021-10-01T00:00:00"/>
    <x v="9"/>
    <s v="Jonah"/>
    <s v="Seitz"/>
    <x v="1"/>
    <n v="12306.6"/>
    <s v="Cash"/>
    <n v="15000"/>
    <n v="0"/>
    <n v="-2693.3999999999996"/>
  </r>
  <r>
    <d v="2021-10-01T00:00:00"/>
    <x v="9"/>
    <s v="Jonah"/>
    <s v="Seitz"/>
    <x v="1"/>
    <n v="16077"/>
    <s v="Cash"/>
    <n v="15000"/>
    <n v="1607.7"/>
    <n v="1077"/>
  </r>
  <r>
    <d v="2021-10-01T00:00:00"/>
    <x v="6"/>
    <s v="David"/>
    <s v="Wilkinson"/>
    <x v="1"/>
    <n v="19594"/>
    <s v="Cash"/>
    <n v="15000"/>
    <n v="1959.4"/>
    <n v="4594"/>
  </r>
  <r>
    <d v="2021-10-01T00:00:00"/>
    <x v="5"/>
    <s v="Chloe"/>
    <s v="Fusaro"/>
    <x v="1"/>
    <n v="19946.199999999997"/>
    <s v="On Account"/>
    <n v="15000"/>
    <n v="1994.62"/>
    <n v="4946.1999999999971"/>
  </r>
  <r>
    <d v="2021-10-01T00:00:00"/>
    <x v="7"/>
    <s v="Sarah"/>
    <s v="Gibbs"/>
    <x v="1"/>
    <n v="26773.4"/>
    <s v="On Account"/>
    <n v="15000"/>
    <n v="2677.34"/>
    <n v="11773.400000000001"/>
  </r>
  <r>
    <d v="2021-10-01T00:00:00"/>
    <x v="9"/>
    <s v="Jonah"/>
    <s v="Seitz"/>
    <x v="1"/>
    <n v="28464.9"/>
    <s v="On Account"/>
    <n v="15000"/>
    <n v="2846.4900000000002"/>
    <n v="13464.900000000001"/>
  </r>
  <r>
    <d v="2021-10-01T00:00:00"/>
    <x v="8"/>
    <s v="Charlotte"/>
    <s v="Edwards"/>
    <x v="1"/>
    <n v="37544.800000000003"/>
    <s v="Credit Card"/>
    <n v="15000"/>
    <n v="3754.4800000000005"/>
    <n v="22544.800000000003"/>
  </r>
  <r>
    <d v="2021-10-01T00:00:00"/>
    <x v="9"/>
    <s v="Jonah"/>
    <s v="Seitz"/>
    <x v="1"/>
    <n v="40224.800000000003"/>
    <s v="Credit Card"/>
    <n v="15000"/>
    <n v="4022.4800000000005"/>
    <n v="25224.800000000003"/>
  </r>
  <r>
    <d v="2021-10-01T00:00:00"/>
    <x v="6"/>
    <s v="David"/>
    <s v="Wilkinson"/>
    <x v="1"/>
    <n v="43591.8"/>
    <s v="Credit Card"/>
    <n v="15000"/>
    <n v="4359.18"/>
    <n v="28591.800000000003"/>
  </r>
  <r>
    <d v="2021-11-01T00:00:00"/>
    <x v="7"/>
    <s v="Sarah"/>
    <s v="Gibbs"/>
    <x v="1"/>
    <n v="9292.5"/>
    <s v="Cash"/>
    <n v="15000"/>
    <n v="0"/>
    <n v="-5707.5"/>
  </r>
  <r>
    <d v="2021-11-01T00:00:00"/>
    <x v="6"/>
    <s v="David"/>
    <s v="Wilkinson"/>
    <x v="1"/>
    <n v="28761.599999999999"/>
    <s v="On Account"/>
    <n v="15000"/>
    <n v="2876.16"/>
    <n v="13761.599999999999"/>
  </r>
  <r>
    <d v="2021-11-01T00:00:00"/>
    <x v="9"/>
    <s v="Jonah"/>
    <s v="Seitz"/>
    <x v="1"/>
    <n v="41932.799999999996"/>
    <s v="Credit Card"/>
    <n v="15000"/>
    <n v="4193.28"/>
    <n v="26932.799999999996"/>
  </r>
  <r>
    <d v="2021-11-01T00:00:00"/>
    <x v="5"/>
    <s v="Chloe"/>
    <s v="Fusaro"/>
    <x v="1"/>
    <n v="42427"/>
    <s v="Cash"/>
    <n v="15000"/>
    <n v="4242.7"/>
    <n v="27427"/>
  </r>
  <r>
    <d v="2021-11-01T00:00:00"/>
    <x v="7"/>
    <s v="Sarah"/>
    <s v="Gibbs"/>
    <x v="1"/>
    <n v="47510.400000000001"/>
    <s v="Cash"/>
    <n v="15000"/>
    <n v="4751.04"/>
    <n v="32510.400000000001"/>
  </r>
  <r>
    <d v="2021-12-01T00:00:00"/>
    <x v="6"/>
    <s v="David"/>
    <s v="Wilkinson"/>
    <x v="1"/>
    <n v="7721.5999999999995"/>
    <s v="Credit Card"/>
    <n v="15000"/>
    <n v="0"/>
    <n v="-7278.4000000000005"/>
  </r>
  <r>
    <d v="2021-12-01T00:00:00"/>
    <x v="9"/>
    <s v="Jonah"/>
    <s v="Seitz"/>
    <x v="1"/>
    <n v="8925.7000000000007"/>
    <s v="Credit Card"/>
    <n v="15000"/>
    <n v="0"/>
    <n v="-6074.2999999999993"/>
  </r>
  <r>
    <d v="2021-12-01T00:00:00"/>
    <x v="9"/>
    <s v="Jonah"/>
    <s v="Seitz"/>
    <x v="1"/>
    <n v="15802.6"/>
    <s v="On Account"/>
    <n v="15000"/>
    <n v="1580.2600000000002"/>
    <n v="802.60000000000036"/>
  </r>
  <r>
    <d v="2021-12-01T00:00:00"/>
    <x v="7"/>
    <s v="Sarah"/>
    <s v="Gibbs"/>
    <x v="1"/>
    <n v="21103.3"/>
    <s v="On Account"/>
    <n v="15000"/>
    <n v="2110.33"/>
    <n v="6103.2999999999993"/>
  </r>
  <r>
    <d v="2021-12-01T00:00:00"/>
    <x v="7"/>
    <s v="Sarah"/>
    <s v="Gibbs"/>
    <x v="1"/>
    <n v="22351.100000000002"/>
    <s v="On Account"/>
    <n v="15000"/>
    <n v="2235.11"/>
    <n v="7351.1000000000022"/>
  </r>
  <r>
    <d v="2021-12-01T00:00:00"/>
    <x v="9"/>
    <s v="Jonah"/>
    <s v="Seitz"/>
    <x v="1"/>
    <n v="43974"/>
    <s v="Credit Card"/>
    <n v="15000"/>
    <n v="4397.4000000000005"/>
    <n v="28974"/>
  </r>
  <r>
    <d v="2021-01-01T00:00:00"/>
    <x v="10"/>
    <s v="Olivia"/>
    <s v="Cheung"/>
    <x v="2"/>
    <n v="3008.3999999999996"/>
    <s v="Cash"/>
    <n v="15000"/>
    <n v="0"/>
    <n v="-11991.6"/>
  </r>
  <r>
    <d v="2021-01-01T00:00:00"/>
    <x v="11"/>
    <s v="Jason"/>
    <s v="Jackaki"/>
    <x v="2"/>
    <n v="7221.5999999999995"/>
    <s v="On Account"/>
    <n v="15000"/>
    <n v="0"/>
    <n v="-7778.4000000000005"/>
  </r>
  <r>
    <d v="2021-01-01T00:00:00"/>
    <x v="10"/>
    <s v="Olivia"/>
    <s v="Cheung"/>
    <x v="2"/>
    <n v="10903.199999999999"/>
    <s v="Cash"/>
    <n v="15000"/>
    <n v="0"/>
    <n v="-4096.8000000000011"/>
  </r>
  <r>
    <d v="2021-01-01T00:00:00"/>
    <x v="12"/>
    <s v="Annabel"/>
    <s v="Mettick"/>
    <x v="2"/>
    <n v="14616"/>
    <s v="Cash"/>
    <n v="15000"/>
    <n v="0"/>
    <n v="-384"/>
  </r>
  <r>
    <d v="2021-01-01T00:00:00"/>
    <x v="13"/>
    <s v="Emily"/>
    <s v="Whelan"/>
    <x v="2"/>
    <n v="18885.900000000001"/>
    <s v="On Account"/>
    <n v="15000"/>
    <n v="1888.5900000000001"/>
    <n v="3885.9000000000015"/>
  </r>
  <r>
    <d v="2021-01-01T00:00:00"/>
    <x v="13"/>
    <s v="Emily"/>
    <s v="Whelan"/>
    <x v="2"/>
    <n v="24236"/>
    <s v="Credit Card"/>
    <n v="15000"/>
    <n v="2423.6"/>
    <n v="9236"/>
  </r>
  <r>
    <d v="2021-02-01T00:00:00"/>
    <x v="12"/>
    <s v="Annabel"/>
    <s v="Mettick"/>
    <x v="2"/>
    <n v="3596"/>
    <s v="Cash"/>
    <n v="15000"/>
    <n v="0"/>
    <n v="-11404"/>
  </r>
  <r>
    <d v="2021-02-01T00:00:00"/>
    <x v="14"/>
    <s v="Cory"/>
    <s v="Goodwin"/>
    <x v="2"/>
    <n v="6300"/>
    <s v="On Account"/>
    <n v="15000"/>
    <n v="0"/>
    <n v="-8700"/>
  </r>
  <r>
    <d v="2021-02-01T00:00:00"/>
    <x v="12"/>
    <s v="Annabel"/>
    <s v="Mettick"/>
    <x v="2"/>
    <n v="6804"/>
    <s v="Credit Card"/>
    <n v="15000"/>
    <n v="0"/>
    <n v="-8196"/>
  </r>
  <r>
    <d v="2021-02-01T00:00:00"/>
    <x v="11"/>
    <s v="Jason"/>
    <s v="Jackaki"/>
    <x v="2"/>
    <n v="8524.4000000000015"/>
    <s v="On Account"/>
    <n v="15000"/>
    <n v="0"/>
    <n v="-6475.5999999999985"/>
  </r>
  <r>
    <d v="2021-02-01T00:00:00"/>
    <x v="12"/>
    <s v="Annabel"/>
    <s v="Mettick"/>
    <x v="2"/>
    <n v="8772"/>
    <s v="On Account"/>
    <n v="15000"/>
    <n v="0"/>
    <n v="-6228"/>
  </r>
  <r>
    <d v="2021-02-01T00:00:00"/>
    <x v="12"/>
    <s v="Annabel"/>
    <s v="Mettick"/>
    <x v="2"/>
    <n v="17328.300000000003"/>
    <s v="On Account"/>
    <n v="15000"/>
    <n v="1732.8300000000004"/>
    <n v="2328.3000000000029"/>
  </r>
  <r>
    <d v="2021-02-01T00:00:00"/>
    <x v="14"/>
    <s v="Cory"/>
    <s v="Goodwin"/>
    <x v="2"/>
    <n v="21438.899999999998"/>
    <s v="Credit Card"/>
    <n v="15000"/>
    <n v="2143.89"/>
    <n v="6438.8999999999978"/>
  </r>
  <r>
    <d v="2021-02-01T00:00:00"/>
    <x v="11"/>
    <s v="Jason"/>
    <s v="Jackaki"/>
    <x v="2"/>
    <n v="26556.799999999999"/>
    <s v="Cash"/>
    <n v="15000"/>
    <n v="2655.6800000000003"/>
    <n v="11556.8"/>
  </r>
  <r>
    <d v="2021-02-01T00:00:00"/>
    <x v="11"/>
    <s v="Jason"/>
    <s v="Jackaki"/>
    <x v="2"/>
    <n v="33132.600000000006"/>
    <s v="On Account"/>
    <n v="15000"/>
    <n v="3313.2600000000007"/>
    <n v="18132.600000000006"/>
  </r>
  <r>
    <d v="2021-03-01T00:00:00"/>
    <x v="12"/>
    <s v="Annabel"/>
    <s v="Mettick"/>
    <x v="2"/>
    <n v="6544.8"/>
    <s v="Credit Card"/>
    <n v="15000"/>
    <n v="0"/>
    <n v="-8455.2000000000007"/>
  </r>
  <r>
    <d v="2021-03-01T00:00:00"/>
    <x v="11"/>
    <s v="Jason"/>
    <s v="Jackaki"/>
    <x v="2"/>
    <n v="11166.300000000001"/>
    <s v="Cash"/>
    <n v="15000"/>
    <n v="0"/>
    <n v="-3833.6999999999989"/>
  </r>
  <r>
    <d v="2021-03-01T00:00:00"/>
    <x v="12"/>
    <s v="Annabel"/>
    <s v="Mettick"/>
    <x v="2"/>
    <n v="11403"/>
    <s v="Cash"/>
    <n v="15000"/>
    <n v="0"/>
    <n v="-3597"/>
  </r>
  <r>
    <d v="2021-03-01T00:00:00"/>
    <x v="12"/>
    <s v="Annabel"/>
    <s v="Mettick"/>
    <x v="2"/>
    <n v="11554.400000000001"/>
    <s v="Cash"/>
    <n v="15000"/>
    <n v="0"/>
    <n v="-3445.5999999999985"/>
  </r>
  <r>
    <d v="2021-03-01T00:00:00"/>
    <x v="10"/>
    <s v="Olivia"/>
    <s v="Cheung"/>
    <x v="2"/>
    <n v="12143.999999999998"/>
    <s v="Cash"/>
    <n v="15000"/>
    <n v="0"/>
    <n v="-2856.0000000000018"/>
  </r>
  <r>
    <d v="2021-03-01T00:00:00"/>
    <x v="10"/>
    <s v="Olivia"/>
    <s v="Cheung"/>
    <x v="2"/>
    <n v="13244.7"/>
    <s v="Credit Card"/>
    <n v="15000"/>
    <n v="0"/>
    <n v="-1755.2999999999993"/>
  </r>
  <r>
    <d v="2021-03-01T00:00:00"/>
    <x v="13"/>
    <s v="Emily"/>
    <s v="Whelan"/>
    <x v="2"/>
    <n v="23014.400000000001"/>
    <s v="Credit Card"/>
    <n v="15000"/>
    <n v="2301.44"/>
    <n v="8014.4000000000015"/>
  </r>
  <r>
    <d v="2021-03-01T00:00:00"/>
    <x v="10"/>
    <s v="Olivia"/>
    <s v="Cheung"/>
    <x v="2"/>
    <n v="26200"/>
    <s v="Cash"/>
    <n v="15000"/>
    <n v="2620"/>
    <n v="11200"/>
  </r>
  <r>
    <d v="2021-03-01T00:00:00"/>
    <x v="11"/>
    <s v="Jason"/>
    <s v="Jackaki"/>
    <x v="2"/>
    <n v="28286.399999999998"/>
    <s v="Credit Card"/>
    <n v="15000"/>
    <n v="2828.64"/>
    <n v="13286.399999999998"/>
  </r>
  <r>
    <d v="2021-03-01T00:00:00"/>
    <x v="10"/>
    <s v="Olivia"/>
    <s v="Cheung"/>
    <x v="2"/>
    <n v="35715.4"/>
    <s v="Cash"/>
    <n v="15000"/>
    <n v="3571.5400000000004"/>
    <n v="20715.400000000001"/>
  </r>
  <r>
    <d v="2021-04-01T00:00:00"/>
    <x v="14"/>
    <s v="Cory"/>
    <s v="Goodwin"/>
    <x v="2"/>
    <n v="6960"/>
    <s v="On Account"/>
    <n v="15000"/>
    <n v="0"/>
    <n v="-8040"/>
  </r>
  <r>
    <d v="2021-04-01T00:00:00"/>
    <x v="13"/>
    <s v="Emily"/>
    <s v="Whelan"/>
    <x v="2"/>
    <n v="9627.8999999999978"/>
    <s v="Credit Card"/>
    <n v="15000"/>
    <n v="0"/>
    <n v="-5372.1000000000022"/>
  </r>
  <r>
    <d v="2021-04-01T00:00:00"/>
    <x v="12"/>
    <s v="Annabel"/>
    <s v="Mettick"/>
    <x v="2"/>
    <n v="13725.600000000002"/>
    <s v="On Account"/>
    <n v="15000"/>
    <n v="0"/>
    <n v="-1274.3999999999978"/>
  </r>
  <r>
    <d v="2021-04-01T00:00:00"/>
    <x v="13"/>
    <s v="Emily"/>
    <s v="Whelan"/>
    <x v="2"/>
    <n v="15353.2"/>
    <s v="Credit Card"/>
    <n v="15000"/>
    <n v="1535.3200000000002"/>
    <n v="353.20000000000073"/>
  </r>
  <r>
    <d v="2021-04-01T00:00:00"/>
    <x v="10"/>
    <s v="Olivia"/>
    <s v="Cheung"/>
    <x v="2"/>
    <n v="18994.5"/>
    <s v="Cash"/>
    <n v="15000"/>
    <n v="1899.45"/>
    <n v="3994.5"/>
  </r>
  <r>
    <d v="2021-04-01T00:00:00"/>
    <x v="10"/>
    <s v="Olivia"/>
    <s v="Cheung"/>
    <x v="2"/>
    <n v="28628.799999999996"/>
    <s v="On Account"/>
    <n v="15000"/>
    <n v="2862.8799999999997"/>
    <n v="13628.799999999996"/>
  </r>
  <r>
    <d v="2021-05-01T00:00:00"/>
    <x v="14"/>
    <s v="Cory"/>
    <s v="Goodwin"/>
    <x v="2"/>
    <n v="10948"/>
    <s v="Credit Card"/>
    <n v="15000"/>
    <n v="0"/>
    <n v="-4052"/>
  </r>
  <r>
    <d v="2021-05-01T00:00:00"/>
    <x v="11"/>
    <s v="Jason"/>
    <s v="Jackaki"/>
    <x v="2"/>
    <n v="13044.899999999998"/>
    <s v="Credit Card"/>
    <n v="15000"/>
    <n v="0"/>
    <n v="-1955.1000000000022"/>
  </r>
  <r>
    <d v="2021-05-01T00:00:00"/>
    <x v="13"/>
    <s v="Emily"/>
    <s v="Whelan"/>
    <x v="2"/>
    <n v="28616"/>
    <s v="On Account"/>
    <n v="15000"/>
    <n v="2861.6000000000004"/>
    <n v="13616"/>
  </r>
  <r>
    <d v="2021-05-01T00:00:00"/>
    <x v="12"/>
    <s v="Annabel"/>
    <s v="Mettick"/>
    <x v="2"/>
    <n v="30377.399999999998"/>
    <s v="On Account"/>
    <n v="15000"/>
    <n v="3037.74"/>
    <n v="15377.399999999998"/>
  </r>
  <r>
    <d v="2021-05-01T00:00:00"/>
    <x v="13"/>
    <s v="Emily"/>
    <s v="Whelan"/>
    <x v="2"/>
    <n v="35351"/>
    <s v="Cash"/>
    <n v="15000"/>
    <n v="3535.1000000000004"/>
    <n v="20351"/>
  </r>
  <r>
    <d v="2021-06-01T00:00:00"/>
    <x v="13"/>
    <s v="Emily"/>
    <s v="Whelan"/>
    <x v="2"/>
    <n v="6872.7999999999993"/>
    <s v="Credit Card"/>
    <n v="15000"/>
    <n v="0"/>
    <n v="-8127.2000000000007"/>
  </r>
  <r>
    <d v="2021-06-01T00:00:00"/>
    <x v="12"/>
    <s v="Annabel"/>
    <s v="Mettick"/>
    <x v="2"/>
    <n v="8827"/>
    <s v="On Account"/>
    <n v="15000"/>
    <n v="0"/>
    <n v="-6173"/>
  </r>
  <r>
    <d v="2021-06-01T00:00:00"/>
    <x v="14"/>
    <s v="Cory"/>
    <s v="Goodwin"/>
    <x v="2"/>
    <n v="9836.8000000000011"/>
    <s v="Credit Card"/>
    <n v="15000"/>
    <n v="0"/>
    <n v="-5163.1999999999989"/>
  </r>
  <r>
    <d v="2021-06-01T00:00:00"/>
    <x v="12"/>
    <s v="Annabel"/>
    <s v="Mettick"/>
    <x v="2"/>
    <n v="10032"/>
    <s v="Credit Card"/>
    <n v="15000"/>
    <n v="0"/>
    <n v="-4968"/>
  </r>
  <r>
    <d v="2021-06-01T00:00:00"/>
    <x v="12"/>
    <s v="Annabel"/>
    <s v="Mettick"/>
    <x v="2"/>
    <n v="15953.599999999999"/>
    <s v="Cash"/>
    <n v="15000"/>
    <n v="1595.36"/>
    <n v="953.59999999999854"/>
  </r>
  <r>
    <d v="2021-06-01T00:00:00"/>
    <x v="13"/>
    <s v="Emily"/>
    <s v="Whelan"/>
    <x v="2"/>
    <n v="25560"/>
    <s v="Credit Card"/>
    <n v="15000"/>
    <n v="2556"/>
    <n v="10560"/>
  </r>
  <r>
    <d v="2021-06-01T00:00:00"/>
    <x v="12"/>
    <s v="Annabel"/>
    <s v="Mettick"/>
    <x v="2"/>
    <n v="35695"/>
    <s v="Cash"/>
    <n v="15000"/>
    <n v="3569.5"/>
    <n v="20695"/>
  </r>
  <r>
    <d v="2021-07-01T00:00:00"/>
    <x v="14"/>
    <s v="Cory"/>
    <s v="Goodwin"/>
    <x v="2"/>
    <n v="9405.2999999999993"/>
    <s v="Cash"/>
    <n v="15000"/>
    <n v="0"/>
    <n v="-5594.7000000000007"/>
  </r>
  <r>
    <d v="2021-07-01T00:00:00"/>
    <x v="13"/>
    <s v="Emily"/>
    <s v="Whelan"/>
    <x v="2"/>
    <n v="9704.1999999999989"/>
    <s v="On Account"/>
    <n v="15000"/>
    <n v="0"/>
    <n v="-5295.8000000000011"/>
  </r>
  <r>
    <d v="2021-07-01T00:00:00"/>
    <x v="14"/>
    <s v="Cory"/>
    <s v="Goodwin"/>
    <x v="2"/>
    <n v="13674"/>
    <s v="Cash"/>
    <n v="15000"/>
    <n v="0"/>
    <n v="-1326"/>
  </r>
  <r>
    <d v="2021-07-01T00:00:00"/>
    <x v="12"/>
    <s v="Annabel"/>
    <s v="Mettick"/>
    <x v="2"/>
    <n v="21120.400000000001"/>
    <s v="Cash"/>
    <n v="15000"/>
    <n v="2112.0400000000004"/>
    <n v="6120.4000000000015"/>
  </r>
  <r>
    <d v="2021-07-01T00:00:00"/>
    <x v="12"/>
    <s v="Annabel"/>
    <s v="Mettick"/>
    <x v="2"/>
    <n v="23997.600000000002"/>
    <s v="Credit Card"/>
    <n v="15000"/>
    <n v="2399.7600000000002"/>
    <n v="8997.6000000000022"/>
  </r>
  <r>
    <d v="2021-07-01T00:00:00"/>
    <x v="12"/>
    <s v="Annabel"/>
    <s v="Mettick"/>
    <x v="2"/>
    <n v="35715.4"/>
    <s v="On Account"/>
    <n v="15000"/>
    <n v="3571.5400000000004"/>
    <n v="20715.400000000001"/>
  </r>
  <r>
    <d v="2021-08-01T00:00:00"/>
    <x v="12"/>
    <s v="Annabel"/>
    <s v="Mettick"/>
    <x v="2"/>
    <n v="3386.6000000000004"/>
    <s v="Cash"/>
    <n v="15000"/>
    <n v="0"/>
    <n v="-11613.4"/>
  </r>
  <r>
    <d v="2021-08-01T00:00:00"/>
    <x v="13"/>
    <s v="Emily"/>
    <s v="Whelan"/>
    <x v="2"/>
    <n v="4028"/>
    <s v="Credit Card"/>
    <n v="15000"/>
    <n v="0"/>
    <n v="-10972"/>
  </r>
  <r>
    <d v="2021-08-01T00:00:00"/>
    <x v="10"/>
    <s v="Olivia"/>
    <s v="Cheung"/>
    <x v="2"/>
    <n v="5532.7999999999993"/>
    <s v="Cash"/>
    <n v="15000"/>
    <n v="0"/>
    <n v="-9467.2000000000007"/>
  </r>
  <r>
    <d v="2021-08-01T00:00:00"/>
    <x v="12"/>
    <s v="Annabel"/>
    <s v="Mettick"/>
    <x v="2"/>
    <n v="10200"/>
    <s v="On Account"/>
    <n v="15000"/>
    <n v="0"/>
    <n v="-4800"/>
  </r>
  <r>
    <d v="2021-08-01T00:00:00"/>
    <x v="10"/>
    <s v="Olivia"/>
    <s v="Cheung"/>
    <x v="2"/>
    <n v="13923"/>
    <s v="On Account"/>
    <n v="15000"/>
    <n v="0"/>
    <n v="-1077"/>
  </r>
  <r>
    <d v="2021-08-01T00:00:00"/>
    <x v="13"/>
    <s v="Emily"/>
    <s v="Whelan"/>
    <x v="2"/>
    <n v="17593.399999999998"/>
    <s v="Cash"/>
    <n v="15000"/>
    <n v="1759.34"/>
    <n v="2593.3999999999978"/>
  </r>
  <r>
    <d v="2021-08-01T00:00:00"/>
    <x v="14"/>
    <s v="Cory"/>
    <s v="Goodwin"/>
    <x v="2"/>
    <n v="17666"/>
    <s v="Credit Card"/>
    <n v="15000"/>
    <n v="1766.6000000000001"/>
    <n v="2666"/>
  </r>
  <r>
    <d v="2021-08-01T00:00:00"/>
    <x v="12"/>
    <s v="Annabel"/>
    <s v="Mettick"/>
    <x v="2"/>
    <n v="21420"/>
    <s v="On Account"/>
    <n v="15000"/>
    <n v="2142"/>
    <n v="6420"/>
  </r>
  <r>
    <d v="2021-08-01T00:00:00"/>
    <x v="10"/>
    <s v="Olivia"/>
    <s v="Cheung"/>
    <x v="2"/>
    <n v="24080"/>
    <s v="Credit Card"/>
    <n v="15000"/>
    <n v="2408"/>
    <n v="9080"/>
  </r>
  <r>
    <d v="2021-08-01T00:00:00"/>
    <x v="13"/>
    <s v="Emily"/>
    <s v="Whelan"/>
    <x v="2"/>
    <n v="27531"/>
    <s v="On Account"/>
    <n v="15000"/>
    <n v="2753.1000000000004"/>
    <n v="12531"/>
  </r>
  <r>
    <d v="2021-08-01T00:00:00"/>
    <x v="14"/>
    <s v="Cory"/>
    <s v="Goodwin"/>
    <x v="2"/>
    <n v="32795.700000000004"/>
    <s v="Cash"/>
    <n v="15000"/>
    <n v="3279.5700000000006"/>
    <n v="17795.700000000004"/>
  </r>
  <r>
    <d v="2021-09-01T00:00:00"/>
    <x v="13"/>
    <s v="Emily"/>
    <s v="Whelan"/>
    <x v="2"/>
    <n v="7008"/>
    <s v="On Account"/>
    <n v="15000"/>
    <n v="0"/>
    <n v="-7992"/>
  </r>
  <r>
    <d v="2021-09-01T00:00:00"/>
    <x v="10"/>
    <s v="Olivia"/>
    <s v="Cheung"/>
    <x v="2"/>
    <n v="8099.6999999999989"/>
    <s v="Credit Card"/>
    <n v="15000"/>
    <n v="0"/>
    <n v="-6900.3000000000011"/>
  </r>
  <r>
    <d v="2021-09-01T00:00:00"/>
    <x v="12"/>
    <s v="Annabel"/>
    <s v="Mettick"/>
    <x v="2"/>
    <n v="9840"/>
    <s v="Cash"/>
    <n v="15000"/>
    <n v="0"/>
    <n v="-5160"/>
  </r>
  <r>
    <d v="2021-09-01T00:00:00"/>
    <x v="11"/>
    <s v="Jason"/>
    <s v="Jackaki"/>
    <x v="2"/>
    <n v="10218"/>
    <s v="Cash"/>
    <n v="15000"/>
    <n v="0"/>
    <n v="-4782"/>
  </r>
  <r>
    <d v="2021-09-01T00:00:00"/>
    <x v="12"/>
    <s v="Annabel"/>
    <s v="Mettick"/>
    <x v="2"/>
    <n v="14311.2"/>
    <s v="Credit Card"/>
    <n v="15000"/>
    <n v="0"/>
    <n v="-688.79999999999927"/>
  </r>
  <r>
    <d v="2021-09-01T00:00:00"/>
    <x v="12"/>
    <s v="Annabel"/>
    <s v="Mettick"/>
    <x v="2"/>
    <n v="14715.2"/>
    <s v="Cash"/>
    <n v="15000"/>
    <n v="0"/>
    <n v="-284.79999999999927"/>
  </r>
  <r>
    <d v="2021-09-01T00:00:00"/>
    <x v="14"/>
    <s v="Cory"/>
    <s v="Goodwin"/>
    <x v="2"/>
    <n v="19147.8"/>
    <s v="Cash"/>
    <n v="15000"/>
    <n v="1914.78"/>
    <n v="4147.7999999999993"/>
  </r>
  <r>
    <d v="2021-09-01T00:00:00"/>
    <x v="12"/>
    <s v="Annabel"/>
    <s v="Mettick"/>
    <x v="2"/>
    <n v="20760.300000000003"/>
    <s v="Cash"/>
    <n v="15000"/>
    <n v="2076.0300000000002"/>
    <n v="5760.3000000000029"/>
  </r>
  <r>
    <d v="2021-09-01T00:00:00"/>
    <x v="14"/>
    <s v="Cory"/>
    <s v="Goodwin"/>
    <x v="2"/>
    <n v="24579.8"/>
    <s v="Credit Card"/>
    <n v="15000"/>
    <n v="2457.98"/>
    <n v="9579.7999999999993"/>
  </r>
  <r>
    <d v="2021-09-01T00:00:00"/>
    <x v="14"/>
    <s v="Cory"/>
    <s v="Goodwin"/>
    <x v="2"/>
    <n v="25946.300000000003"/>
    <s v="On Account"/>
    <n v="15000"/>
    <n v="2594.6300000000006"/>
    <n v="10946.300000000003"/>
  </r>
  <r>
    <d v="2021-09-01T00:00:00"/>
    <x v="10"/>
    <s v="Olivia"/>
    <s v="Cheung"/>
    <x v="2"/>
    <n v="30367.999999999996"/>
    <s v="Cash"/>
    <n v="15000"/>
    <n v="3036.7999999999997"/>
    <n v="15367.999999999996"/>
  </r>
  <r>
    <d v="2021-09-01T00:00:00"/>
    <x v="13"/>
    <s v="Emily"/>
    <s v="Whelan"/>
    <x v="2"/>
    <n v="35640"/>
    <s v="Credit Card"/>
    <n v="15000"/>
    <n v="3564"/>
    <n v="20640"/>
  </r>
  <r>
    <d v="2021-10-01T00:00:00"/>
    <x v="11"/>
    <s v="Jason"/>
    <s v="Jackaki"/>
    <x v="2"/>
    <n v="4201.6000000000004"/>
    <s v="Cash"/>
    <n v="15000"/>
    <n v="0"/>
    <n v="-10798.4"/>
  </r>
  <r>
    <d v="2021-10-01T00:00:00"/>
    <x v="10"/>
    <s v="Olivia"/>
    <s v="Cheung"/>
    <x v="2"/>
    <n v="15262.8"/>
    <s v="On Account"/>
    <n v="15000"/>
    <n v="1526.28"/>
    <n v="262.79999999999927"/>
  </r>
  <r>
    <d v="2021-10-01T00:00:00"/>
    <x v="14"/>
    <s v="Cory"/>
    <s v="Goodwin"/>
    <x v="2"/>
    <n v="20790"/>
    <s v="Cash"/>
    <n v="15000"/>
    <n v="2079"/>
    <n v="5790"/>
  </r>
  <r>
    <d v="2021-10-01T00:00:00"/>
    <x v="11"/>
    <s v="Jason"/>
    <s v="Jackaki"/>
    <x v="2"/>
    <n v="21878.5"/>
    <s v="Credit Card"/>
    <n v="15000"/>
    <n v="2187.85"/>
    <n v="6878.5"/>
  </r>
  <r>
    <d v="2021-10-01T00:00:00"/>
    <x v="14"/>
    <s v="Cory"/>
    <s v="Goodwin"/>
    <x v="2"/>
    <n v="22136.800000000003"/>
    <s v="Credit Card"/>
    <n v="15000"/>
    <n v="2213.6800000000003"/>
    <n v="7136.8000000000029"/>
  </r>
  <r>
    <d v="2021-10-01T00:00:00"/>
    <x v="14"/>
    <s v="Cory"/>
    <s v="Goodwin"/>
    <x v="2"/>
    <n v="23240.400000000001"/>
    <s v="Cash"/>
    <n v="15000"/>
    <n v="2324.0400000000004"/>
    <n v="8240.4000000000015"/>
  </r>
  <r>
    <d v="2021-10-01T00:00:00"/>
    <x v="11"/>
    <s v="Jason"/>
    <s v="Jackaki"/>
    <x v="2"/>
    <n v="41989.599999999999"/>
    <s v="Credit Card"/>
    <n v="15000"/>
    <n v="4198.96"/>
    <n v="26989.599999999999"/>
  </r>
  <r>
    <d v="2021-11-01T00:00:00"/>
    <x v="12"/>
    <s v="Annabel"/>
    <s v="Mettick"/>
    <x v="2"/>
    <n v="9006"/>
    <s v="On Account"/>
    <n v="15000"/>
    <n v="0"/>
    <n v="-5994"/>
  </r>
  <r>
    <d v="2021-11-01T00:00:00"/>
    <x v="11"/>
    <s v="Jason"/>
    <s v="Jackaki"/>
    <x v="2"/>
    <n v="10573.5"/>
    <s v="Credit Card"/>
    <n v="15000"/>
    <n v="0"/>
    <n v="-4426.5"/>
  </r>
  <r>
    <d v="2021-11-01T00:00:00"/>
    <x v="13"/>
    <s v="Emily"/>
    <s v="Whelan"/>
    <x v="2"/>
    <n v="13230"/>
    <s v="Cash"/>
    <n v="15000"/>
    <n v="0"/>
    <n v="-1770"/>
  </r>
  <r>
    <d v="2021-11-01T00:00:00"/>
    <x v="10"/>
    <s v="Olivia"/>
    <s v="Cheung"/>
    <x v="2"/>
    <n v="15403.600000000002"/>
    <s v="Cash"/>
    <n v="15000"/>
    <n v="1540.3600000000004"/>
    <n v="403.60000000000218"/>
  </r>
  <r>
    <d v="2021-11-01T00:00:00"/>
    <x v="12"/>
    <s v="Annabel"/>
    <s v="Mettick"/>
    <x v="2"/>
    <n v="16394.399999999998"/>
    <s v="Cash"/>
    <n v="15000"/>
    <n v="1639.4399999999998"/>
    <n v="1394.3999999999978"/>
  </r>
  <r>
    <d v="2021-11-01T00:00:00"/>
    <x v="12"/>
    <s v="Annabel"/>
    <s v="Mettick"/>
    <x v="2"/>
    <n v="16606"/>
    <s v="On Account"/>
    <n v="15000"/>
    <n v="1660.6000000000001"/>
    <n v="1606"/>
  </r>
  <r>
    <d v="2021-11-01T00:00:00"/>
    <x v="10"/>
    <s v="Olivia"/>
    <s v="Cheung"/>
    <x v="2"/>
    <n v="18452.599999999999"/>
    <s v="On Account"/>
    <n v="15000"/>
    <n v="1845.26"/>
    <n v="3452.5999999999985"/>
  </r>
  <r>
    <d v="2021-11-01T00:00:00"/>
    <x v="11"/>
    <s v="Jason"/>
    <s v="Jackaki"/>
    <x v="2"/>
    <n v="20062.5"/>
    <s v="Credit Card"/>
    <n v="15000"/>
    <n v="2006.25"/>
    <n v="5062.5"/>
  </r>
  <r>
    <d v="2021-11-01T00:00:00"/>
    <x v="14"/>
    <s v="Cory"/>
    <s v="Goodwin"/>
    <x v="2"/>
    <n v="22900.499999999996"/>
    <s v="Credit Card"/>
    <n v="15000"/>
    <n v="2290.0499999999997"/>
    <n v="7900.4999999999964"/>
  </r>
  <r>
    <d v="2021-11-01T00:00:00"/>
    <x v="14"/>
    <s v="Cory"/>
    <s v="Goodwin"/>
    <x v="2"/>
    <n v="23057.999999999996"/>
    <s v="On Account"/>
    <n v="15000"/>
    <n v="2305.7999999999997"/>
    <n v="8057.9999999999964"/>
  </r>
  <r>
    <d v="2021-11-01T00:00:00"/>
    <x v="12"/>
    <s v="Annabel"/>
    <s v="Mettick"/>
    <x v="2"/>
    <n v="37560"/>
    <s v="On Account"/>
    <n v="15000"/>
    <n v="3756"/>
    <n v="22560"/>
  </r>
  <r>
    <d v="2021-11-01T00:00:00"/>
    <x v="11"/>
    <s v="Jason"/>
    <s v="Jackaki"/>
    <x v="2"/>
    <n v="38570"/>
    <s v="Credit Card"/>
    <n v="15000"/>
    <n v="3857"/>
    <n v="23570"/>
  </r>
  <r>
    <d v="2021-11-01T00:00:00"/>
    <x v="10"/>
    <s v="Olivia"/>
    <s v="Cheung"/>
    <x v="2"/>
    <n v="39199.599999999999"/>
    <s v="On Account"/>
    <n v="15000"/>
    <n v="3919.96"/>
    <n v="24199.599999999999"/>
  </r>
  <r>
    <d v="2021-12-01T00:00:00"/>
    <x v="12"/>
    <s v="Annabel"/>
    <s v="Mettick"/>
    <x v="2"/>
    <n v="8082.7999999999993"/>
    <s v="Credit Card"/>
    <n v="15000"/>
    <n v="0"/>
    <n v="-6917.2000000000007"/>
  </r>
  <r>
    <d v="2021-12-01T00:00:00"/>
    <x v="11"/>
    <s v="Jason"/>
    <s v="Jackaki"/>
    <x v="2"/>
    <n v="9826.4"/>
    <s v="On Account"/>
    <n v="15000"/>
    <n v="0"/>
    <n v="-5173.6000000000004"/>
  </r>
  <r>
    <d v="2021-12-01T00:00:00"/>
    <x v="14"/>
    <s v="Cory"/>
    <s v="Goodwin"/>
    <x v="2"/>
    <n v="12328"/>
    <s v="Cash"/>
    <n v="15000"/>
    <n v="0"/>
    <n v="-2672"/>
  </r>
  <r>
    <d v="2021-12-01T00:00:00"/>
    <x v="12"/>
    <s v="Annabel"/>
    <s v="Mettick"/>
    <x v="2"/>
    <n v="24544"/>
    <s v="Cash"/>
    <n v="15000"/>
    <n v="2454.4"/>
    <n v="9544"/>
  </r>
  <r>
    <d v="2021-12-01T00:00:00"/>
    <x v="10"/>
    <s v="Olivia"/>
    <s v="Cheung"/>
    <x v="2"/>
    <n v="27350.400000000001"/>
    <s v="On Account"/>
    <n v="15000"/>
    <n v="2735.0400000000004"/>
    <n v="12350.400000000001"/>
  </r>
  <r>
    <d v="2021-12-01T00:00:00"/>
    <x v="13"/>
    <s v="Emily"/>
    <s v="Whelan"/>
    <x v="2"/>
    <n v="28845"/>
    <s v="Cash"/>
    <n v="15000"/>
    <n v="2884.5"/>
    <n v="13845"/>
  </r>
  <r>
    <d v="2021-12-01T00:00:00"/>
    <x v="10"/>
    <s v="Olivia"/>
    <s v="Cheung"/>
    <x v="2"/>
    <n v="43593.599999999999"/>
    <s v="Cash"/>
    <n v="15000"/>
    <n v="4359.3599999999997"/>
    <n v="28593.599999999999"/>
  </r>
  <r>
    <d v="2021-01-01T00:00:00"/>
    <x v="15"/>
    <m/>
    <m/>
    <x v="3"/>
    <n v="3637.21"/>
    <s v="Credit Card"/>
    <n v="15000"/>
    <n v="0"/>
    <n v="-11362.79"/>
  </r>
  <r>
    <d v="2021-01-01T00:00:00"/>
    <x v="16"/>
    <m/>
    <m/>
    <x v="3"/>
    <n v="3918.6"/>
    <s v="Cash"/>
    <n v="15000"/>
    <n v="0"/>
    <n v="-11081.4"/>
  </r>
  <r>
    <d v="2021-01-01T00:00:00"/>
    <x v="17"/>
    <m/>
    <m/>
    <x v="3"/>
    <n v="694.54"/>
    <s v="On Account"/>
    <n v="15000"/>
    <n v="0"/>
    <n v="-14305.46"/>
  </r>
  <r>
    <d v="2021-01-01T00:00:00"/>
    <x v="15"/>
    <m/>
    <m/>
    <x v="3"/>
    <n v="3112.72"/>
    <s v="On Account"/>
    <n v="15000"/>
    <n v="0"/>
    <n v="-11887.28"/>
  </r>
  <r>
    <d v="2021-01-01T00:00:00"/>
    <x v="17"/>
    <m/>
    <m/>
    <x v="3"/>
    <n v="1001.92"/>
    <s v="On Account"/>
    <n v="15000"/>
    <n v="0"/>
    <n v="-13998.08"/>
  </r>
  <r>
    <d v="2021-01-01T00:00:00"/>
    <x v="18"/>
    <m/>
    <m/>
    <x v="3"/>
    <n v="1638.5600000000002"/>
    <s v="Credit Card"/>
    <n v="15000"/>
    <n v="0"/>
    <n v="-13361.44"/>
  </r>
  <r>
    <d v="2021-01-01T00:00:00"/>
    <x v="16"/>
    <m/>
    <m/>
    <x v="3"/>
    <n v="1910.8"/>
    <s v="Cash"/>
    <n v="15000"/>
    <n v="0"/>
    <n v="-13089.2"/>
  </r>
  <r>
    <d v="2021-01-01T00:00:00"/>
    <x v="17"/>
    <m/>
    <m/>
    <x v="3"/>
    <n v="765.82"/>
    <s v="On Account"/>
    <n v="15000"/>
    <n v="0"/>
    <n v="-14234.18"/>
  </r>
  <r>
    <d v="2021-01-01T00:00:00"/>
    <x v="16"/>
    <m/>
    <m/>
    <x v="3"/>
    <n v="765.8599999999999"/>
    <s v="Cash"/>
    <n v="15000"/>
    <n v="0"/>
    <n v="-14234.14"/>
  </r>
  <r>
    <d v="2021-01-01T00:00:00"/>
    <x v="15"/>
    <m/>
    <m/>
    <x v="3"/>
    <n v="4671.5999999999995"/>
    <s v="Credit Card"/>
    <n v="15000"/>
    <n v="0"/>
    <n v="-10328.400000000001"/>
  </r>
  <r>
    <d v="2021-01-01T00:00:00"/>
    <x v="17"/>
    <m/>
    <m/>
    <x v="3"/>
    <n v="1945.6"/>
    <s v="Credit Card"/>
    <n v="15000"/>
    <n v="0"/>
    <n v="-13054.4"/>
  </r>
  <r>
    <d v="2021-01-01T00:00:00"/>
    <x v="16"/>
    <m/>
    <m/>
    <x v="3"/>
    <n v="1017.6"/>
    <s v="Cash"/>
    <n v="15000"/>
    <n v="0"/>
    <n v="-13982.4"/>
  </r>
  <r>
    <d v="2021-01-01T00:00:00"/>
    <x v="18"/>
    <m/>
    <m/>
    <x v="3"/>
    <n v="909.86"/>
    <s v="On Account"/>
    <n v="15000"/>
    <n v="0"/>
    <n v="-14090.14"/>
  </r>
  <r>
    <d v="2021-01-01T00:00:00"/>
    <x v="19"/>
    <s v="Nina"/>
    <s v="McDonald"/>
    <x v="3"/>
    <n v="6945.4"/>
    <s v="On Account"/>
    <n v="15000"/>
    <n v="0"/>
    <n v="-8054.6"/>
  </r>
  <r>
    <d v="2021-01-01T00:00:00"/>
    <x v="19"/>
    <s v="Nina"/>
    <s v="McDonald"/>
    <x v="3"/>
    <n v="7658.2000000000007"/>
    <s v="On Account"/>
    <n v="15000"/>
    <n v="0"/>
    <n v="-7341.7999999999993"/>
  </r>
  <r>
    <d v="2021-01-01T00:00:00"/>
    <x v="20"/>
    <s v="Ally"/>
    <s v="Bryant"/>
    <x v="3"/>
    <n v="7658.5999999999985"/>
    <s v="Cash"/>
    <n v="15000"/>
    <n v="0"/>
    <n v="-7341.4000000000015"/>
  </r>
  <r>
    <d v="2021-01-01T00:00:00"/>
    <x v="21"/>
    <s v="Josh"/>
    <s v="Sutherland"/>
    <x v="3"/>
    <n v="9098.6"/>
    <s v="On Account"/>
    <n v="15000"/>
    <n v="0"/>
    <n v="-5901.4"/>
  </r>
  <r>
    <d v="2021-01-01T00:00:00"/>
    <x v="19"/>
    <s v="Nina"/>
    <s v="McDonald"/>
    <x v="3"/>
    <n v="10019.199999999999"/>
    <s v="On Account"/>
    <n v="15000"/>
    <n v="0"/>
    <n v="-4980.8000000000011"/>
  </r>
  <r>
    <d v="2021-01-01T00:00:00"/>
    <x v="20"/>
    <s v="Ally"/>
    <s v="Bryant"/>
    <x v="3"/>
    <n v="10176"/>
    <s v="Cash"/>
    <n v="15000"/>
    <n v="0"/>
    <n v="-4824"/>
  </r>
  <r>
    <d v="2021-01-01T00:00:00"/>
    <x v="21"/>
    <s v="Josh"/>
    <s v="Sutherland"/>
    <x v="3"/>
    <n v="16385.600000000002"/>
    <s v="Credit Card"/>
    <n v="15000"/>
    <n v="1638.5600000000004"/>
    <n v="1385.6000000000022"/>
  </r>
  <r>
    <d v="2021-01-01T00:00:00"/>
    <x v="20"/>
    <s v="Ally"/>
    <s v="Bryant"/>
    <x v="3"/>
    <n v="19108"/>
    <s v="Cash"/>
    <n v="15000"/>
    <n v="1910.8000000000002"/>
    <n v="4108"/>
  </r>
  <r>
    <d v="2021-01-01T00:00:00"/>
    <x v="19"/>
    <s v="Nina"/>
    <s v="McDonald"/>
    <x v="3"/>
    <n v="19456"/>
    <s v="Credit Card"/>
    <n v="15000"/>
    <n v="1945.6000000000001"/>
    <n v="4456"/>
  </r>
  <r>
    <d v="2021-01-01T00:00:00"/>
    <x v="22"/>
    <s v="Spencer"/>
    <s v="Cruz"/>
    <x v="3"/>
    <n v="31127.199999999997"/>
    <s v="On Account"/>
    <n v="15000"/>
    <n v="3112.72"/>
    <n v="16127.199999999997"/>
  </r>
  <r>
    <d v="2021-01-01T00:00:00"/>
    <x v="22"/>
    <s v="Spencer"/>
    <s v="Cruz"/>
    <x v="3"/>
    <n v="36372.1"/>
    <s v="Credit Card"/>
    <n v="15000"/>
    <n v="3637.21"/>
    <n v="21372.1"/>
  </r>
  <r>
    <d v="2021-01-01T00:00:00"/>
    <x v="20"/>
    <s v="Ally"/>
    <s v="Bryant"/>
    <x v="3"/>
    <n v="39186"/>
    <s v="Cash"/>
    <n v="15000"/>
    <n v="3918.6000000000004"/>
    <n v="24186"/>
  </r>
  <r>
    <d v="2021-01-01T00:00:00"/>
    <x v="22"/>
    <s v="Spencer"/>
    <s v="Cruz"/>
    <x v="3"/>
    <n v="46715.999999999993"/>
    <s v="Credit Card"/>
    <n v="15000"/>
    <n v="4671.5999999999995"/>
    <n v="31715.999999999993"/>
  </r>
  <r>
    <d v="2021-02-01T00:00:00"/>
    <x v="17"/>
    <m/>
    <m/>
    <x v="3"/>
    <n v="734.32"/>
    <s v="Cash"/>
    <n v="15000"/>
    <n v="0"/>
    <n v="-14265.68"/>
  </r>
  <r>
    <d v="2021-02-01T00:00:00"/>
    <x v="17"/>
    <m/>
    <m/>
    <x v="3"/>
    <n v="2839.55"/>
    <s v="On Account"/>
    <n v="15000"/>
    <n v="0"/>
    <n v="-12160.45"/>
  </r>
  <r>
    <d v="2021-02-01T00:00:00"/>
    <x v="17"/>
    <m/>
    <m/>
    <x v="3"/>
    <n v="453.09999999999997"/>
    <s v="On Account"/>
    <n v="15000"/>
    <n v="0"/>
    <n v="-14546.9"/>
  </r>
  <r>
    <d v="2021-02-01T00:00:00"/>
    <x v="23"/>
    <m/>
    <m/>
    <x v="3"/>
    <n v="1774.8"/>
    <s v="Credit Card"/>
    <n v="15000"/>
    <n v="0"/>
    <n v="-13225.2"/>
  </r>
  <r>
    <d v="2021-02-01T00:00:00"/>
    <x v="17"/>
    <m/>
    <m/>
    <x v="3"/>
    <n v="735.66"/>
    <s v="Credit Card"/>
    <n v="15000"/>
    <n v="0"/>
    <n v="-14264.34"/>
  </r>
  <r>
    <d v="2021-02-01T00:00:00"/>
    <x v="23"/>
    <m/>
    <m/>
    <x v="3"/>
    <n v="675.18"/>
    <s v="Cash"/>
    <n v="15000"/>
    <n v="0"/>
    <n v="-14324.82"/>
  </r>
  <r>
    <d v="2021-02-01T00:00:00"/>
    <x v="16"/>
    <m/>
    <m/>
    <x v="3"/>
    <n v="4142.95"/>
    <s v="Cash"/>
    <n v="15000"/>
    <n v="0"/>
    <n v="-10857.05"/>
  </r>
  <r>
    <d v="2021-02-01T00:00:00"/>
    <x v="19"/>
    <s v="Nina"/>
    <s v="McDonald"/>
    <x v="3"/>
    <n v="4531"/>
    <s v="On Account"/>
    <n v="15000"/>
    <n v="0"/>
    <n v="-10469"/>
  </r>
  <r>
    <d v="2021-02-01T00:00:00"/>
    <x v="24"/>
    <s v="Tia"/>
    <s v="Cruise"/>
    <x v="3"/>
    <n v="6751.7999999999993"/>
    <s v="Cash"/>
    <n v="15000"/>
    <n v="0"/>
    <n v="-8248.2000000000007"/>
  </r>
  <r>
    <d v="2021-02-01T00:00:00"/>
    <x v="19"/>
    <s v="Nina"/>
    <s v="McDonald"/>
    <x v="3"/>
    <n v="7343.2000000000007"/>
    <s v="Cash"/>
    <n v="15000"/>
    <n v="0"/>
    <n v="-7656.7999999999993"/>
  </r>
  <r>
    <d v="2021-02-01T00:00:00"/>
    <x v="19"/>
    <s v="Nina"/>
    <s v="McDonald"/>
    <x v="3"/>
    <n v="7356.5999999999995"/>
    <s v="Credit Card"/>
    <n v="15000"/>
    <n v="0"/>
    <n v="-7643.4000000000005"/>
  </r>
  <r>
    <d v="2021-02-01T00:00:00"/>
    <x v="24"/>
    <s v="Tia"/>
    <s v="Cruise"/>
    <x v="3"/>
    <n v="17748"/>
    <s v="Credit Card"/>
    <n v="15000"/>
    <n v="1774.8000000000002"/>
    <n v="2748"/>
  </r>
  <r>
    <d v="2021-02-01T00:00:00"/>
    <x v="19"/>
    <s v="Nina"/>
    <s v="McDonald"/>
    <x v="3"/>
    <n v="28395.5"/>
    <s v="On Account"/>
    <n v="15000"/>
    <n v="2839.55"/>
    <n v="13395.5"/>
  </r>
  <r>
    <d v="2021-02-01T00:00:00"/>
    <x v="20"/>
    <s v="Ally"/>
    <s v="Bryant"/>
    <x v="3"/>
    <n v="41429.5"/>
    <s v="Cash"/>
    <n v="15000"/>
    <n v="4142.95"/>
    <n v="26429.5"/>
  </r>
  <r>
    <d v="2021-03-01T00:00:00"/>
    <x v="17"/>
    <m/>
    <m/>
    <x v="3"/>
    <n v="1045.1199999999999"/>
    <s v="Credit Card"/>
    <n v="15000"/>
    <n v="0"/>
    <n v="-13954.880000000001"/>
  </r>
  <r>
    <d v="2021-03-01T00:00:00"/>
    <x v="16"/>
    <m/>
    <m/>
    <x v="3"/>
    <n v="1432.95"/>
    <s v="Credit Card"/>
    <n v="15000"/>
    <n v="0"/>
    <n v="-13567.05"/>
  </r>
  <r>
    <d v="2021-03-01T00:00:00"/>
    <x v="16"/>
    <m/>
    <m/>
    <x v="3"/>
    <n v="3140.7"/>
    <s v="Cash"/>
    <n v="15000"/>
    <n v="0"/>
    <n v="-11859.3"/>
  </r>
  <r>
    <d v="2021-03-01T00:00:00"/>
    <x v="16"/>
    <m/>
    <m/>
    <x v="3"/>
    <n v="869.4"/>
    <s v="Credit Card"/>
    <n v="15000"/>
    <n v="0"/>
    <n v="-14130.6"/>
  </r>
  <r>
    <d v="2021-03-01T00:00:00"/>
    <x v="18"/>
    <m/>
    <m/>
    <x v="3"/>
    <n v="3564.75"/>
    <s v="On Account"/>
    <n v="15000"/>
    <n v="0"/>
    <n v="-11435.25"/>
  </r>
  <r>
    <d v="2021-03-01T00:00:00"/>
    <x v="16"/>
    <m/>
    <m/>
    <x v="3"/>
    <n v="911.6"/>
    <s v="Credit Card"/>
    <n v="15000"/>
    <n v="0"/>
    <n v="-14088.4"/>
  </r>
  <r>
    <d v="2021-03-01T00:00:00"/>
    <x v="18"/>
    <m/>
    <m/>
    <x v="3"/>
    <n v="1011.0299999999999"/>
    <s v="Credit Card"/>
    <n v="15000"/>
    <n v="0"/>
    <n v="-13988.97"/>
  </r>
  <r>
    <d v="2021-03-01T00:00:00"/>
    <x v="23"/>
    <m/>
    <m/>
    <x v="3"/>
    <n v="2795.68"/>
    <s v="Cash"/>
    <n v="15000"/>
    <n v="0"/>
    <n v="-12204.32"/>
  </r>
  <r>
    <d v="2021-03-01T00:00:00"/>
    <x v="23"/>
    <m/>
    <m/>
    <x v="3"/>
    <n v="2767.09"/>
    <s v="On Account"/>
    <n v="15000"/>
    <n v="0"/>
    <n v="-12232.91"/>
  </r>
  <r>
    <d v="2021-03-01T00:00:00"/>
    <x v="18"/>
    <m/>
    <m/>
    <x v="3"/>
    <n v="798.27"/>
    <s v="On Account"/>
    <n v="15000"/>
    <n v="0"/>
    <n v="-14201.73"/>
  </r>
  <r>
    <d v="2021-03-01T00:00:00"/>
    <x v="23"/>
    <m/>
    <m/>
    <x v="3"/>
    <n v="2510.2399999999998"/>
    <s v="Cash"/>
    <n v="15000"/>
    <n v="0"/>
    <n v="-12489.76"/>
  </r>
  <r>
    <d v="2021-03-01T00:00:00"/>
    <x v="18"/>
    <m/>
    <m/>
    <x v="3"/>
    <n v="3690.7200000000003"/>
    <s v="Cash"/>
    <n v="15000"/>
    <n v="0"/>
    <n v="-11309.279999999999"/>
  </r>
  <r>
    <d v="2021-03-01T00:00:00"/>
    <x v="15"/>
    <m/>
    <m/>
    <x v="3"/>
    <n v="670.89"/>
    <s v="On Account"/>
    <n v="15000"/>
    <n v="0"/>
    <n v="-14329.11"/>
  </r>
  <r>
    <d v="2021-03-01T00:00:00"/>
    <x v="16"/>
    <m/>
    <m/>
    <x v="3"/>
    <n v="2012.8"/>
    <s v="On Account"/>
    <n v="15000"/>
    <n v="0"/>
    <n v="-12987.2"/>
  </r>
  <r>
    <d v="2021-03-01T00:00:00"/>
    <x v="15"/>
    <m/>
    <m/>
    <x v="3"/>
    <n v="2116.7999999999997"/>
    <s v="Credit Card"/>
    <n v="15000"/>
    <n v="0"/>
    <n v="-12883.2"/>
  </r>
  <r>
    <d v="2021-03-01T00:00:00"/>
    <x v="17"/>
    <m/>
    <m/>
    <x v="3"/>
    <n v="1158.04"/>
    <s v="Cash"/>
    <n v="15000"/>
    <n v="0"/>
    <n v="-13841.96"/>
  </r>
  <r>
    <d v="2021-03-01T00:00:00"/>
    <x v="22"/>
    <s v="Spencer"/>
    <s v="Cruz"/>
    <x v="3"/>
    <n v="6708.9"/>
    <s v="On Account"/>
    <n v="15000"/>
    <n v="0"/>
    <n v="-8291.1"/>
  </r>
  <r>
    <d v="2021-03-01T00:00:00"/>
    <x v="21"/>
    <s v="Josh"/>
    <s v="Sutherland"/>
    <x v="3"/>
    <n v="7982.7"/>
    <s v="On Account"/>
    <n v="15000"/>
    <n v="0"/>
    <n v="-7017.3"/>
  </r>
  <r>
    <d v="2021-03-01T00:00:00"/>
    <x v="20"/>
    <s v="Ally"/>
    <s v="Bryant"/>
    <x v="3"/>
    <n v="8694"/>
    <s v="Credit Card"/>
    <n v="15000"/>
    <n v="0"/>
    <n v="-6306"/>
  </r>
  <r>
    <d v="2021-03-01T00:00:00"/>
    <x v="20"/>
    <s v="Ally"/>
    <s v="Bryant"/>
    <x v="3"/>
    <n v="9116"/>
    <s v="Credit Card"/>
    <n v="15000"/>
    <n v="0"/>
    <n v="-5884"/>
  </r>
  <r>
    <d v="2021-03-01T00:00:00"/>
    <x v="21"/>
    <s v="Josh"/>
    <s v="Sutherland"/>
    <x v="3"/>
    <n v="10110.299999999999"/>
    <s v="Credit Card"/>
    <n v="15000"/>
    <n v="0"/>
    <n v="-4889.7000000000007"/>
  </r>
  <r>
    <d v="2021-03-01T00:00:00"/>
    <x v="19"/>
    <s v="Nina"/>
    <s v="McDonald"/>
    <x v="3"/>
    <n v="10451.199999999999"/>
    <s v="Credit Card"/>
    <n v="15000"/>
    <n v="0"/>
    <n v="-4548.8000000000011"/>
  </r>
  <r>
    <d v="2021-03-01T00:00:00"/>
    <x v="19"/>
    <s v="Nina"/>
    <s v="McDonald"/>
    <x v="3"/>
    <n v="11580.4"/>
    <s v="Cash"/>
    <n v="15000"/>
    <n v="0"/>
    <n v="-3419.6000000000004"/>
  </r>
  <r>
    <d v="2021-03-01T00:00:00"/>
    <x v="20"/>
    <s v="Ally"/>
    <s v="Bryant"/>
    <x v="3"/>
    <n v="14329.5"/>
    <s v="Credit Card"/>
    <n v="15000"/>
    <n v="0"/>
    <n v="-670.5"/>
  </r>
  <r>
    <d v="2021-03-01T00:00:00"/>
    <x v="20"/>
    <s v="Ally"/>
    <s v="Bryant"/>
    <x v="3"/>
    <n v="20128"/>
    <s v="On Account"/>
    <n v="15000"/>
    <n v="2012.8000000000002"/>
    <n v="5128"/>
  </r>
  <r>
    <d v="2021-03-01T00:00:00"/>
    <x v="22"/>
    <s v="Spencer"/>
    <s v="Cruz"/>
    <x v="3"/>
    <n v="21167.999999999996"/>
    <s v="Credit Card"/>
    <n v="15000"/>
    <n v="2116.7999999999997"/>
    <n v="6167.9999999999964"/>
  </r>
  <r>
    <d v="2021-03-01T00:00:00"/>
    <x v="24"/>
    <s v="Tia"/>
    <s v="Cruise"/>
    <x v="3"/>
    <n v="25102.399999999998"/>
    <s v="Cash"/>
    <n v="15000"/>
    <n v="2510.2399999999998"/>
    <n v="10102.399999999998"/>
  </r>
  <r>
    <d v="2021-03-01T00:00:00"/>
    <x v="24"/>
    <s v="Tia"/>
    <s v="Cruise"/>
    <x v="3"/>
    <n v="27670.9"/>
    <s v="On Account"/>
    <n v="15000"/>
    <n v="2767.09"/>
    <n v="12670.900000000001"/>
  </r>
  <r>
    <d v="2021-03-01T00:00:00"/>
    <x v="24"/>
    <s v="Tia"/>
    <s v="Cruise"/>
    <x v="3"/>
    <n v="27956.799999999999"/>
    <s v="Cash"/>
    <n v="15000"/>
    <n v="2795.6800000000003"/>
    <n v="12956.8"/>
  </r>
  <r>
    <d v="2021-03-01T00:00:00"/>
    <x v="20"/>
    <s v="Ally"/>
    <s v="Bryant"/>
    <x v="3"/>
    <n v="31407"/>
    <s v="Cash"/>
    <n v="15000"/>
    <n v="3140.7000000000003"/>
    <n v="16407"/>
  </r>
  <r>
    <d v="2021-03-01T00:00:00"/>
    <x v="21"/>
    <s v="Josh"/>
    <s v="Sutherland"/>
    <x v="3"/>
    <n v="35647.5"/>
    <s v="On Account"/>
    <n v="15000"/>
    <n v="3564.75"/>
    <n v="20647.5"/>
  </r>
  <r>
    <d v="2021-03-01T00:00:00"/>
    <x v="21"/>
    <s v="Josh"/>
    <s v="Sutherland"/>
    <x v="3"/>
    <n v="36907.200000000004"/>
    <s v="Cash"/>
    <n v="15000"/>
    <n v="3690.7200000000007"/>
    <n v="21907.200000000004"/>
  </r>
  <r>
    <d v="2021-04-01T00:00:00"/>
    <x v="17"/>
    <m/>
    <m/>
    <x v="3"/>
    <n v="1171.6500000000001"/>
    <s v="Credit Card"/>
    <n v="15000"/>
    <n v="0"/>
    <n v="-13828.35"/>
  </r>
  <r>
    <d v="2021-04-01T00:00:00"/>
    <x v="18"/>
    <m/>
    <m/>
    <x v="3"/>
    <n v="1696.8"/>
    <s v="On Account"/>
    <n v="15000"/>
    <n v="0"/>
    <n v="-13303.2"/>
  </r>
  <r>
    <d v="2021-04-01T00:00:00"/>
    <x v="18"/>
    <m/>
    <m/>
    <x v="3"/>
    <n v="569.64"/>
    <s v="Credit Card"/>
    <n v="15000"/>
    <n v="0"/>
    <n v="-14430.36"/>
  </r>
  <r>
    <d v="2021-04-01T00:00:00"/>
    <x v="18"/>
    <m/>
    <m/>
    <x v="3"/>
    <n v="1818.84"/>
    <s v="Cash"/>
    <n v="15000"/>
    <n v="0"/>
    <n v="-13181.16"/>
  </r>
  <r>
    <d v="2021-04-01T00:00:00"/>
    <x v="16"/>
    <m/>
    <m/>
    <x v="3"/>
    <n v="1799.35"/>
    <s v="Credit Card"/>
    <n v="15000"/>
    <n v="0"/>
    <n v="-13200.65"/>
  </r>
  <r>
    <d v="2021-04-01T00:00:00"/>
    <x v="17"/>
    <m/>
    <m/>
    <x v="3"/>
    <n v="1649.94"/>
    <s v="Cash"/>
    <n v="15000"/>
    <n v="0"/>
    <n v="-13350.06"/>
  </r>
  <r>
    <d v="2021-04-01T00:00:00"/>
    <x v="15"/>
    <m/>
    <m/>
    <x v="3"/>
    <n v="1441.6"/>
    <s v="On Account"/>
    <n v="15000"/>
    <n v="0"/>
    <n v="-13558.4"/>
  </r>
  <r>
    <d v="2021-04-01T00:00:00"/>
    <x v="21"/>
    <s v="Josh"/>
    <s v="Sutherland"/>
    <x v="3"/>
    <n v="5696.4"/>
    <s v="Credit Card"/>
    <n v="15000"/>
    <n v="0"/>
    <n v="-9303.6"/>
  </r>
  <r>
    <d v="2021-04-01T00:00:00"/>
    <x v="19"/>
    <s v="Nina"/>
    <s v="McDonald"/>
    <x v="3"/>
    <n v="11716.5"/>
    <s v="Credit Card"/>
    <n v="15000"/>
    <n v="0"/>
    <n v="-3283.5"/>
  </r>
  <r>
    <d v="2021-04-01T00:00:00"/>
    <x v="22"/>
    <s v="Spencer"/>
    <s v="Cruz"/>
    <x v="3"/>
    <n v="14416"/>
    <s v="On Account"/>
    <n v="15000"/>
    <n v="0"/>
    <n v="-584"/>
  </r>
  <r>
    <d v="2021-04-01T00:00:00"/>
    <x v="19"/>
    <s v="Nina"/>
    <s v="McDonald"/>
    <x v="3"/>
    <n v="16499.400000000001"/>
    <s v="Cash"/>
    <n v="15000"/>
    <n v="1649.9400000000003"/>
    <n v="1499.4000000000015"/>
  </r>
  <r>
    <d v="2021-04-01T00:00:00"/>
    <x v="21"/>
    <s v="Josh"/>
    <s v="Sutherland"/>
    <x v="3"/>
    <n v="16968"/>
    <s v="On Account"/>
    <n v="15000"/>
    <n v="1696.8000000000002"/>
    <n v="1968"/>
  </r>
  <r>
    <d v="2021-04-01T00:00:00"/>
    <x v="20"/>
    <s v="Ally"/>
    <s v="Bryant"/>
    <x v="3"/>
    <n v="17993.5"/>
    <s v="Credit Card"/>
    <n v="15000"/>
    <n v="1799.3500000000001"/>
    <n v="2993.5"/>
  </r>
  <r>
    <d v="2021-04-01T00:00:00"/>
    <x v="21"/>
    <s v="Josh"/>
    <s v="Sutherland"/>
    <x v="3"/>
    <n v="18188.399999999998"/>
    <s v="Cash"/>
    <n v="15000"/>
    <n v="1818.84"/>
    <n v="3188.3999999999978"/>
  </r>
  <r>
    <d v="2021-05-01T00:00:00"/>
    <x v="15"/>
    <m/>
    <m/>
    <x v="3"/>
    <n v="900.48"/>
    <s v="Credit Card"/>
    <n v="15000"/>
    <n v="0"/>
    <n v="-14099.52"/>
  </r>
  <r>
    <d v="2021-05-01T00:00:00"/>
    <x v="15"/>
    <m/>
    <m/>
    <x v="3"/>
    <n v="4224.91"/>
    <s v="Cash"/>
    <n v="15000"/>
    <n v="0"/>
    <n v="-10775.09"/>
  </r>
  <r>
    <d v="2021-05-01T00:00:00"/>
    <x v="18"/>
    <m/>
    <m/>
    <x v="3"/>
    <n v="2399.7600000000002"/>
    <s v="Credit Card"/>
    <n v="15000"/>
    <n v="0"/>
    <n v="-12600.24"/>
  </r>
  <r>
    <d v="2021-05-01T00:00:00"/>
    <x v="15"/>
    <m/>
    <m/>
    <x v="3"/>
    <n v="2791.64"/>
    <s v="On Account"/>
    <n v="15000"/>
    <n v="0"/>
    <n v="-12208.36"/>
  </r>
  <r>
    <d v="2021-05-01T00:00:00"/>
    <x v="16"/>
    <m/>
    <m/>
    <x v="3"/>
    <n v="2071.7599999999998"/>
    <s v="Cash"/>
    <n v="15000"/>
    <n v="0"/>
    <n v="-12928.24"/>
  </r>
  <r>
    <d v="2021-05-01T00:00:00"/>
    <x v="18"/>
    <m/>
    <m/>
    <x v="3"/>
    <n v="1983.64"/>
    <s v="Credit Card"/>
    <n v="15000"/>
    <n v="0"/>
    <n v="-13016.36"/>
  </r>
  <r>
    <d v="2021-05-01T00:00:00"/>
    <x v="18"/>
    <m/>
    <m/>
    <x v="3"/>
    <n v="1961.75"/>
    <s v="On Account"/>
    <n v="15000"/>
    <n v="0"/>
    <n v="-13038.25"/>
  </r>
  <r>
    <d v="2021-05-01T00:00:00"/>
    <x v="18"/>
    <m/>
    <m/>
    <x v="3"/>
    <n v="1882.64"/>
    <s v="On Account"/>
    <n v="15000"/>
    <n v="0"/>
    <n v="-13117.36"/>
  </r>
  <r>
    <d v="2021-05-01T00:00:00"/>
    <x v="23"/>
    <m/>
    <m/>
    <x v="3"/>
    <n v="2336.4"/>
    <s v="Cash"/>
    <n v="15000"/>
    <n v="0"/>
    <n v="-12663.6"/>
  </r>
  <r>
    <d v="2021-05-01T00:00:00"/>
    <x v="22"/>
    <s v="Spencer"/>
    <s v="Cruz"/>
    <x v="3"/>
    <n v="9004.7999999999993"/>
    <s v="Credit Card"/>
    <n v="15000"/>
    <n v="0"/>
    <n v="-5995.2000000000007"/>
  </r>
  <r>
    <d v="2021-05-01T00:00:00"/>
    <x v="21"/>
    <s v="Josh"/>
    <s v="Sutherland"/>
    <x v="3"/>
    <n v="18826.400000000001"/>
    <s v="On Account"/>
    <n v="15000"/>
    <n v="1882.6400000000003"/>
    <n v="3826.4000000000015"/>
  </r>
  <r>
    <d v="2021-05-01T00:00:00"/>
    <x v="21"/>
    <s v="Josh"/>
    <s v="Sutherland"/>
    <x v="3"/>
    <n v="19617.5"/>
    <s v="On Account"/>
    <n v="15000"/>
    <n v="1961.75"/>
    <n v="4617.5"/>
  </r>
  <r>
    <d v="2021-05-01T00:00:00"/>
    <x v="21"/>
    <s v="Josh"/>
    <s v="Sutherland"/>
    <x v="3"/>
    <n v="19836.400000000001"/>
    <s v="Credit Card"/>
    <n v="15000"/>
    <n v="1983.6400000000003"/>
    <n v="4836.4000000000015"/>
  </r>
  <r>
    <d v="2021-05-01T00:00:00"/>
    <x v="20"/>
    <s v="Ally"/>
    <s v="Bryant"/>
    <x v="3"/>
    <n v="20717.599999999999"/>
    <s v="Cash"/>
    <n v="15000"/>
    <n v="2071.7599999999998"/>
    <n v="5717.5999999999985"/>
  </r>
  <r>
    <d v="2021-05-01T00:00:00"/>
    <x v="24"/>
    <s v="Tia"/>
    <s v="Cruise"/>
    <x v="3"/>
    <n v="23364"/>
    <s v="Cash"/>
    <n v="15000"/>
    <n v="2336.4"/>
    <n v="8364"/>
  </r>
  <r>
    <d v="2021-05-01T00:00:00"/>
    <x v="21"/>
    <s v="Josh"/>
    <s v="Sutherland"/>
    <x v="3"/>
    <n v="23997.600000000002"/>
    <s v="Credit Card"/>
    <n v="15000"/>
    <n v="2399.7600000000002"/>
    <n v="8997.6000000000022"/>
  </r>
  <r>
    <d v="2021-05-01T00:00:00"/>
    <x v="22"/>
    <s v="Spencer"/>
    <s v="Cruz"/>
    <x v="3"/>
    <n v="27916.399999999998"/>
    <s v="On Account"/>
    <n v="15000"/>
    <n v="2791.64"/>
    <n v="12916.399999999998"/>
  </r>
  <r>
    <d v="2021-05-01T00:00:00"/>
    <x v="22"/>
    <s v="Spencer"/>
    <s v="Cruz"/>
    <x v="3"/>
    <n v="42249.1"/>
    <s v="Cash"/>
    <n v="15000"/>
    <n v="4224.91"/>
    <n v="27249.1"/>
  </r>
  <r>
    <d v="2021-06-01T00:00:00"/>
    <x v="16"/>
    <m/>
    <m/>
    <x v="3"/>
    <n v="957.48"/>
    <s v="Cash"/>
    <n v="15000"/>
    <n v="0"/>
    <n v="-14042.52"/>
  </r>
  <r>
    <d v="2021-06-01T00:00:00"/>
    <x v="23"/>
    <m/>
    <m/>
    <x v="3"/>
    <n v="1506.1200000000001"/>
    <s v="Cash"/>
    <n v="15000"/>
    <n v="0"/>
    <n v="-13493.88"/>
  </r>
  <r>
    <d v="2021-06-01T00:00:00"/>
    <x v="23"/>
    <m/>
    <m/>
    <x v="3"/>
    <n v="3965.3900000000003"/>
    <s v="On Account"/>
    <n v="15000"/>
    <n v="0"/>
    <n v="-11034.61"/>
  </r>
  <r>
    <d v="2021-06-01T00:00:00"/>
    <x v="15"/>
    <m/>
    <m/>
    <x v="3"/>
    <n v="3719.25"/>
    <s v="On Account"/>
    <n v="15000"/>
    <n v="0"/>
    <n v="-11280.75"/>
  </r>
  <r>
    <d v="2021-06-01T00:00:00"/>
    <x v="16"/>
    <m/>
    <m/>
    <x v="3"/>
    <n v="1430.16"/>
    <s v="Cash"/>
    <n v="15000"/>
    <n v="0"/>
    <n v="-13569.84"/>
  </r>
  <r>
    <d v="2021-06-01T00:00:00"/>
    <x v="18"/>
    <m/>
    <m/>
    <x v="3"/>
    <n v="1726.2"/>
    <s v="Cash"/>
    <n v="15000"/>
    <n v="0"/>
    <n v="-13273.8"/>
  </r>
  <r>
    <d v="2021-06-01T00:00:00"/>
    <x v="20"/>
    <s v="Ally"/>
    <s v="Bryant"/>
    <x v="3"/>
    <n v="9574.7999999999993"/>
    <s v="Cash"/>
    <n v="15000"/>
    <n v="0"/>
    <n v="-5425.2000000000007"/>
  </r>
  <r>
    <d v="2021-06-01T00:00:00"/>
    <x v="20"/>
    <s v="Ally"/>
    <s v="Bryant"/>
    <x v="3"/>
    <n v="14301.6"/>
    <s v="Cash"/>
    <n v="15000"/>
    <n v="0"/>
    <n v="-698.39999999999964"/>
  </r>
  <r>
    <d v="2021-06-01T00:00:00"/>
    <x v="24"/>
    <s v="Tia"/>
    <s v="Cruise"/>
    <x v="3"/>
    <n v="15061.2"/>
    <s v="Cash"/>
    <n v="15000"/>
    <n v="1506.1200000000001"/>
    <n v="61.200000000000728"/>
  </r>
  <r>
    <d v="2021-06-01T00:00:00"/>
    <x v="21"/>
    <s v="Josh"/>
    <s v="Sutherland"/>
    <x v="3"/>
    <n v="17262"/>
    <s v="Cash"/>
    <n v="15000"/>
    <n v="1726.2"/>
    <n v="2262"/>
  </r>
  <r>
    <d v="2021-06-01T00:00:00"/>
    <x v="22"/>
    <s v="Spencer"/>
    <s v="Cruz"/>
    <x v="3"/>
    <n v="37192.5"/>
    <s v="On Account"/>
    <n v="15000"/>
    <n v="3719.25"/>
    <n v="22192.5"/>
  </r>
  <r>
    <d v="2021-06-01T00:00:00"/>
    <x v="24"/>
    <s v="Tia"/>
    <s v="Cruise"/>
    <x v="3"/>
    <n v="39653.9"/>
    <s v="On Account"/>
    <n v="15000"/>
    <n v="3965.3900000000003"/>
    <n v="24653.9"/>
  </r>
  <r>
    <d v="2021-07-01T00:00:00"/>
    <x v="18"/>
    <m/>
    <m/>
    <x v="3"/>
    <n v="533.28"/>
    <s v="Cash"/>
    <n v="15000"/>
    <n v="0"/>
    <n v="-14466.72"/>
  </r>
  <r>
    <d v="2021-07-01T00:00:00"/>
    <x v="23"/>
    <m/>
    <m/>
    <x v="3"/>
    <n v="346.5"/>
    <s v="Cash"/>
    <n v="15000"/>
    <n v="0"/>
    <n v="-14653.5"/>
  </r>
  <r>
    <d v="2021-07-01T00:00:00"/>
    <x v="16"/>
    <m/>
    <m/>
    <x v="3"/>
    <n v="806.56"/>
    <s v="On Account"/>
    <n v="15000"/>
    <n v="0"/>
    <n v="-14193.44"/>
  </r>
  <r>
    <d v="2021-07-01T00:00:00"/>
    <x v="16"/>
    <m/>
    <m/>
    <x v="3"/>
    <n v="1154.3"/>
    <s v="Credit Card"/>
    <n v="15000"/>
    <n v="0"/>
    <n v="-13845.7"/>
  </r>
  <r>
    <d v="2021-07-01T00:00:00"/>
    <x v="15"/>
    <m/>
    <m/>
    <x v="3"/>
    <n v="1115.55"/>
    <s v="Credit Card"/>
    <n v="15000"/>
    <n v="0"/>
    <n v="-13884.45"/>
  </r>
  <r>
    <d v="2021-07-01T00:00:00"/>
    <x v="16"/>
    <m/>
    <m/>
    <x v="3"/>
    <n v="1064.8999999999999"/>
    <s v="On Account"/>
    <n v="15000"/>
    <n v="0"/>
    <n v="-13935.1"/>
  </r>
  <r>
    <d v="2021-07-01T00:00:00"/>
    <x v="16"/>
    <m/>
    <m/>
    <x v="3"/>
    <n v="2439.5100000000002"/>
    <s v="Credit Card"/>
    <n v="15000"/>
    <n v="0"/>
    <n v="-12560.49"/>
  </r>
  <r>
    <d v="2021-07-01T00:00:00"/>
    <x v="16"/>
    <m/>
    <m/>
    <x v="3"/>
    <n v="1563.32"/>
    <s v="Cash"/>
    <n v="15000"/>
    <n v="0"/>
    <n v="-13436.68"/>
  </r>
  <r>
    <d v="2021-07-01T00:00:00"/>
    <x v="18"/>
    <m/>
    <m/>
    <x v="3"/>
    <n v="1067.94"/>
    <s v="On Account"/>
    <n v="15000"/>
    <n v="0"/>
    <n v="-13932.06"/>
  </r>
  <r>
    <d v="2021-07-01T00:00:00"/>
    <x v="16"/>
    <m/>
    <m/>
    <x v="3"/>
    <n v="2086.8399999999997"/>
    <s v="Cash"/>
    <n v="15000"/>
    <n v="0"/>
    <n v="-12913.16"/>
  </r>
  <r>
    <d v="2021-07-01T00:00:00"/>
    <x v="16"/>
    <m/>
    <m/>
    <x v="3"/>
    <n v="1006.72"/>
    <s v="On Account"/>
    <n v="15000"/>
    <n v="0"/>
    <n v="-13993.28"/>
  </r>
  <r>
    <d v="2021-07-01T00:00:00"/>
    <x v="24"/>
    <s v="Tia"/>
    <s v="Cruise"/>
    <x v="3"/>
    <n v="3465"/>
    <s v="Cash"/>
    <n v="15000"/>
    <n v="0"/>
    <n v="-11535"/>
  </r>
  <r>
    <d v="2021-07-01T00:00:00"/>
    <x v="21"/>
    <s v="Josh"/>
    <s v="Sutherland"/>
    <x v="3"/>
    <n v="5332.7999999999993"/>
    <s v="Cash"/>
    <n v="15000"/>
    <n v="0"/>
    <n v="-9667.2000000000007"/>
  </r>
  <r>
    <d v="2021-07-01T00:00:00"/>
    <x v="20"/>
    <s v="Ally"/>
    <s v="Bryant"/>
    <x v="3"/>
    <n v="8065.5999999999995"/>
    <s v="On Account"/>
    <n v="15000"/>
    <n v="0"/>
    <n v="-6934.4000000000005"/>
  </r>
  <r>
    <d v="2021-07-01T00:00:00"/>
    <x v="20"/>
    <s v="Ally"/>
    <s v="Bryant"/>
    <x v="3"/>
    <n v="10067.200000000001"/>
    <s v="On Account"/>
    <n v="15000"/>
    <n v="0"/>
    <n v="-4932.7999999999993"/>
  </r>
  <r>
    <d v="2021-07-01T00:00:00"/>
    <x v="20"/>
    <s v="Ally"/>
    <s v="Bryant"/>
    <x v="3"/>
    <n v="10648.999999999998"/>
    <s v="On Account"/>
    <n v="15000"/>
    <n v="0"/>
    <n v="-4351.0000000000018"/>
  </r>
  <r>
    <d v="2021-07-01T00:00:00"/>
    <x v="21"/>
    <s v="Josh"/>
    <s v="Sutherland"/>
    <x v="3"/>
    <n v="10679.400000000001"/>
    <s v="On Account"/>
    <n v="15000"/>
    <n v="0"/>
    <n v="-4320.5999999999985"/>
  </r>
  <r>
    <d v="2021-07-01T00:00:00"/>
    <x v="22"/>
    <s v="Spencer"/>
    <s v="Cruz"/>
    <x v="3"/>
    <n v="11155.5"/>
    <s v="Credit Card"/>
    <n v="15000"/>
    <n v="0"/>
    <n v="-3844.5"/>
  </r>
  <r>
    <d v="2021-07-01T00:00:00"/>
    <x v="20"/>
    <s v="Ally"/>
    <s v="Bryant"/>
    <x v="3"/>
    <n v="11543"/>
    <s v="Credit Card"/>
    <n v="15000"/>
    <n v="0"/>
    <n v="-3457"/>
  </r>
  <r>
    <d v="2021-07-01T00:00:00"/>
    <x v="20"/>
    <s v="Ally"/>
    <s v="Bryant"/>
    <x v="3"/>
    <n v="15633.199999999999"/>
    <s v="Cash"/>
    <n v="15000"/>
    <n v="1563.32"/>
    <n v="633.19999999999891"/>
  </r>
  <r>
    <d v="2021-07-01T00:00:00"/>
    <x v="20"/>
    <s v="Ally"/>
    <s v="Bryant"/>
    <x v="3"/>
    <n v="20868.399999999998"/>
    <s v="Cash"/>
    <n v="15000"/>
    <n v="2086.8399999999997"/>
    <n v="5868.3999999999978"/>
  </r>
  <r>
    <d v="2021-07-01T00:00:00"/>
    <x v="20"/>
    <s v="Ally"/>
    <s v="Bryant"/>
    <x v="3"/>
    <n v="24395.100000000002"/>
    <s v="Credit Card"/>
    <n v="15000"/>
    <n v="2439.5100000000002"/>
    <n v="9395.1000000000022"/>
  </r>
  <r>
    <d v="2021-08-01T00:00:00"/>
    <x v="16"/>
    <m/>
    <m/>
    <x v="3"/>
    <n v="376.05"/>
    <s v="Credit Card"/>
    <n v="15000"/>
    <n v="0"/>
    <n v="-14623.95"/>
  </r>
  <r>
    <d v="2021-08-01T00:00:00"/>
    <x v="18"/>
    <m/>
    <m/>
    <x v="3"/>
    <n v="3608.81"/>
    <s v="On Account"/>
    <n v="15000"/>
    <n v="0"/>
    <n v="-11391.19"/>
  </r>
  <r>
    <d v="2021-08-01T00:00:00"/>
    <x v="16"/>
    <m/>
    <m/>
    <x v="3"/>
    <n v="969.76"/>
    <s v="Cash"/>
    <n v="15000"/>
    <n v="0"/>
    <n v="-14030.24"/>
  </r>
  <r>
    <d v="2021-08-01T00:00:00"/>
    <x v="18"/>
    <m/>
    <m/>
    <x v="3"/>
    <n v="2247.79"/>
    <s v="Cash"/>
    <n v="15000"/>
    <n v="0"/>
    <n v="-12752.21"/>
  </r>
  <r>
    <d v="2021-08-01T00:00:00"/>
    <x v="16"/>
    <m/>
    <m/>
    <x v="3"/>
    <n v="432.28000000000003"/>
    <s v="On Account"/>
    <n v="15000"/>
    <n v="0"/>
    <n v="-14567.72"/>
  </r>
  <r>
    <d v="2021-08-01T00:00:00"/>
    <x v="17"/>
    <m/>
    <m/>
    <x v="3"/>
    <n v="4338.8100000000004"/>
    <s v="Cash"/>
    <n v="15000"/>
    <n v="0"/>
    <n v="-10661.189999999999"/>
  </r>
  <r>
    <d v="2021-08-01T00:00:00"/>
    <x v="15"/>
    <m/>
    <m/>
    <x v="3"/>
    <n v="1567.02"/>
    <s v="On Account"/>
    <n v="15000"/>
    <n v="0"/>
    <n v="-13432.98"/>
  </r>
  <r>
    <d v="2021-08-01T00:00:00"/>
    <x v="16"/>
    <m/>
    <m/>
    <x v="3"/>
    <n v="1039.1699999999998"/>
    <s v="On Account"/>
    <n v="15000"/>
    <n v="0"/>
    <n v="-13960.83"/>
  </r>
  <r>
    <d v="2021-08-01T00:00:00"/>
    <x v="20"/>
    <s v="Ally"/>
    <s v="Bryant"/>
    <x v="3"/>
    <n v="3760.5"/>
    <s v="Credit Card"/>
    <n v="15000"/>
    <n v="0"/>
    <n v="-11239.5"/>
  </r>
  <r>
    <d v="2021-08-01T00:00:00"/>
    <x v="20"/>
    <s v="Ally"/>
    <s v="Bryant"/>
    <x v="3"/>
    <n v="4322.8"/>
    <s v="On Account"/>
    <n v="15000"/>
    <n v="0"/>
    <n v="-10677.2"/>
  </r>
  <r>
    <d v="2021-08-01T00:00:00"/>
    <x v="20"/>
    <s v="Ally"/>
    <s v="Bryant"/>
    <x v="3"/>
    <n v="9697.6"/>
    <s v="Cash"/>
    <n v="15000"/>
    <n v="0"/>
    <n v="-5302.4"/>
  </r>
  <r>
    <d v="2021-08-01T00:00:00"/>
    <x v="20"/>
    <s v="Ally"/>
    <s v="Bryant"/>
    <x v="3"/>
    <n v="10391.699999999999"/>
    <s v="On Account"/>
    <n v="15000"/>
    <n v="0"/>
    <n v="-4608.3000000000011"/>
  </r>
  <r>
    <d v="2021-08-01T00:00:00"/>
    <x v="22"/>
    <s v="Spencer"/>
    <s v="Cruz"/>
    <x v="3"/>
    <n v="15670.2"/>
    <s v="On Account"/>
    <n v="15000"/>
    <n v="1567.0200000000002"/>
    <n v="670.20000000000073"/>
  </r>
  <r>
    <d v="2021-08-01T00:00:00"/>
    <x v="21"/>
    <s v="Josh"/>
    <s v="Sutherland"/>
    <x v="3"/>
    <n v="22477.9"/>
    <s v="Cash"/>
    <n v="15000"/>
    <n v="2247.7900000000004"/>
    <n v="7477.9000000000015"/>
  </r>
  <r>
    <d v="2021-08-01T00:00:00"/>
    <x v="21"/>
    <s v="Josh"/>
    <s v="Sutherland"/>
    <x v="3"/>
    <n v="36088.1"/>
    <s v="On Account"/>
    <n v="15000"/>
    <n v="3608.81"/>
    <n v="21088.1"/>
  </r>
  <r>
    <d v="2021-08-01T00:00:00"/>
    <x v="19"/>
    <s v="Nina"/>
    <s v="McDonald"/>
    <x v="3"/>
    <n v="43388.100000000006"/>
    <s v="Cash"/>
    <n v="15000"/>
    <n v="4338.8100000000004"/>
    <n v="28388.100000000006"/>
  </r>
  <r>
    <d v="2021-09-01T00:00:00"/>
    <x v="23"/>
    <m/>
    <m/>
    <x v="3"/>
    <n v="771.4"/>
    <s v="Credit Card"/>
    <n v="15000"/>
    <n v="0"/>
    <n v="-14228.6"/>
  </r>
  <r>
    <d v="2021-09-01T00:00:00"/>
    <x v="16"/>
    <m/>
    <m/>
    <x v="3"/>
    <n v="1636.39"/>
    <s v="Credit Card"/>
    <n v="15000"/>
    <n v="0"/>
    <n v="-13363.61"/>
  </r>
  <r>
    <d v="2021-09-01T00:00:00"/>
    <x v="17"/>
    <m/>
    <m/>
    <x v="3"/>
    <n v="1515.2399999999998"/>
    <s v="On Account"/>
    <n v="15000"/>
    <n v="0"/>
    <n v="-13484.76"/>
  </r>
  <r>
    <d v="2021-09-01T00:00:00"/>
    <x v="24"/>
    <s v="Tia"/>
    <s v="Cruise"/>
    <x v="3"/>
    <n v="7714"/>
    <s v="Credit Card"/>
    <n v="15000"/>
    <n v="0"/>
    <n v="-7286"/>
  </r>
  <r>
    <d v="2021-09-01T00:00:00"/>
    <x v="19"/>
    <s v="Nina"/>
    <s v="McDonald"/>
    <x v="3"/>
    <n v="15152.399999999998"/>
    <s v="On Account"/>
    <n v="15000"/>
    <n v="1515.2399999999998"/>
    <n v="152.39999999999782"/>
  </r>
  <r>
    <d v="2021-09-01T00:00:00"/>
    <x v="20"/>
    <s v="Ally"/>
    <s v="Bryant"/>
    <x v="3"/>
    <n v="16363.900000000001"/>
    <s v="Credit Card"/>
    <n v="15000"/>
    <n v="1636.3900000000003"/>
    <n v="1363.9000000000015"/>
  </r>
  <r>
    <d v="2021-10-01T00:00:00"/>
    <x v="17"/>
    <m/>
    <m/>
    <x v="3"/>
    <n v="4142.07"/>
    <s v="Credit Card"/>
    <n v="15000"/>
    <n v="0"/>
    <n v="-10857.93"/>
  </r>
  <r>
    <d v="2021-10-01T00:00:00"/>
    <x v="23"/>
    <m/>
    <m/>
    <x v="3"/>
    <n v="1069.47"/>
    <s v="On Account"/>
    <n v="15000"/>
    <n v="0"/>
    <n v="-13930.53"/>
  </r>
  <r>
    <d v="2021-10-01T00:00:00"/>
    <x v="18"/>
    <m/>
    <m/>
    <x v="3"/>
    <n v="1059.52"/>
    <s v="On Account"/>
    <n v="15000"/>
    <n v="0"/>
    <n v="-13940.48"/>
  </r>
  <r>
    <d v="2021-10-01T00:00:00"/>
    <x v="18"/>
    <m/>
    <m/>
    <x v="3"/>
    <n v="1423.54"/>
    <s v="On Account"/>
    <n v="15000"/>
    <n v="0"/>
    <n v="-13576.46"/>
  </r>
  <r>
    <d v="2021-10-01T00:00:00"/>
    <x v="18"/>
    <m/>
    <m/>
    <x v="3"/>
    <n v="3653.02"/>
    <s v="Cash"/>
    <n v="15000"/>
    <n v="0"/>
    <n v="-11346.98"/>
  </r>
  <r>
    <d v="2021-10-01T00:00:00"/>
    <x v="23"/>
    <m/>
    <m/>
    <x v="3"/>
    <n v="719.59999999999991"/>
    <s v="Cash"/>
    <n v="15000"/>
    <n v="0"/>
    <n v="-14280.4"/>
  </r>
  <r>
    <d v="2021-10-01T00:00:00"/>
    <x v="17"/>
    <m/>
    <m/>
    <x v="3"/>
    <n v="299.71999999999997"/>
    <s v="Credit Card"/>
    <n v="15000"/>
    <n v="0"/>
    <n v="-14700.28"/>
  </r>
  <r>
    <d v="2021-10-01T00:00:00"/>
    <x v="15"/>
    <m/>
    <m/>
    <x v="3"/>
    <n v="3689.62"/>
    <s v="On Account"/>
    <n v="15000"/>
    <n v="0"/>
    <n v="-11310.380000000001"/>
  </r>
  <r>
    <d v="2021-10-01T00:00:00"/>
    <x v="19"/>
    <s v="Nina"/>
    <s v="McDonald"/>
    <x v="3"/>
    <n v="2997.2"/>
    <s v="Credit Card"/>
    <n v="15000"/>
    <n v="0"/>
    <n v="-12002.8"/>
  </r>
  <r>
    <d v="2021-10-01T00:00:00"/>
    <x v="24"/>
    <s v="Tia"/>
    <s v="Cruise"/>
    <x v="3"/>
    <n v="7195.9999999999991"/>
    <s v="Cash"/>
    <n v="15000"/>
    <n v="0"/>
    <n v="-7804.0000000000009"/>
  </r>
  <r>
    <d v="2021-10-01T00:00:00"/>
    <x v="21"/>
    <s v="Josh"/>
    <s v="Sutherland"/>
    <x v="3"/>
    <n v="10595.2"/>
    <s v="On Account"/>
    <n v="15000"/>
    <n v="0"/>
    <n v="-4404.7999999999993"/>
  </r>
  <r>
    <d v="2021-10-01T00:00:00"/>
    <x v="24"/>
    <s v="Tia"/>
    <s v="Cruise"/>
    <x v="3"/>
    <n v="10694.7"/>
    <s v="On Account"/>
    <n v="15000"/>
    <n v="0"/>
    <n v="-4305.2999999999993"/>
  </r>
  <r>
    <d v="2021-10-01T00:00:00"/>
    <x v="21"/>
    <s v="Josh"/>
    <s v="Sutherland"/>
    <x v="3"/>
    <n v="14235.4"/>
    <s v="On Account"/>
    <n v="15000"/>
    <n v="0"/>
    <n v="-764.60000000000036"/>
  </r>
  <r>
    <d v="2021-10-01T00:00:00"/>
    <x v="21"/>
    <s v="Josh"/>
    <s v="Sutherland"/>
    <x v="3"/>
    <n v="36530.199999999997"/>
    <s v="Cash"/>
    <n v="15000"/>
    <n v="3653.02"/>
    <n v="21530.199999999997"/>
  </r>
  <r>
    <d v="2021-10-01T00:00:00"/>
    <x v="22"/>
    <s v="Spencer"/>
    <s v="Cruz"/>
    <x v="3"/>
    <n v="36896.199999999997"/>
    <s v="On Account"/>
    <n v="15000"/>
    <n v="3689.62"/>
    <n v="21896.199999999997"/>
  </r>
  <r>
    <d v="2021-10-01T00:00:00"/>
    <x v="19"/>
    <s v="Nina"/>
    <s v="McDonald"/>
    <x v="3"/>
    <n v="41420.699999999997"/>
    <s v="Credit Card"/>
    <n v="15000"/>
    <n v="4142.07"/>
    <n v="26420.699999999997"/>
  </r>
  <r>
    <d v="2021-11-01T00:00:00"/>
    <x v="17"/>
    <m/>
    <m/>
    <x v="3"/>
    <n v="1680.64"/>
    <s v="Credit Card"/>
    <n v="15000"/>
    <n v="0"/>
    <n v="-13319.36"/>
  </r>
  <r>
    <d v="2021-11-01T00:00:00"/>
    <x v="18"/>
    <m/>
    <m/>
    <x v="3"/>
    <n v="690"/>
    <s v="Cash"/>
    <n v="15000"/>
    <n v="0"/>
    <n v="-14310"/>
  </r>
  <r>
    <d v="2021-11-01T00:00:00"/>
    <x v="16"/>
    <m/>
    <m/>
    <x v="3"/>
    <n v="1430.29"/>
    <s v="Credit Card"/>
    <n v="15000"/>
    <n v="0"/>
    <n v="-13569.71"/>
  </r>
  <r>
    <d v="2021-11-01T00:00:00"/>
    <x v="23"/>
    <m/>
    <m/>
    <x v="3"/>
    <n v="2079.7200000000003"/>
    <s v="Cash"/>
    <n v="15000"/>
    <n v="0"/>
    <n v="-12920.279999999999"/>
  </r>
  <r>
    <d v="2021-11-01T00:00:00"/>
    <x v="15"/>
    <m/>
    <m/>
    <x v="3"/>
    <n v="2686.6"/>
    <s v="On Account"/>
    <n v="15000"/>
    <n v="0"/>
    <n v="-12313.4"/>
  </r>
  <r>
    <d v="2021-11-01T00:00:00"/>
    <x v="15"/>
    <m/>
    <m/>
    <x v="3"/>
    <n v="968.3"/>
    <s v="On Account"/>
    <n v="15000"/>
    <n v="0"/>
    <n v="-14031.7"/>
  </r>
  <r>
    <d v="2021-11-01T00:00:00"/>
    <x v="21"/>
    <s v="Josh"/>
    <s v="Sutherland"/>
    <x v="3"/>
    <n v="6900"/>
    <s v="Cash"/>
    <n v="15000"/>
    <n v="0"/>
    <n v="-8100"/>
  </r>
  <r>
    <d v="2021-11-01T00:00:00"/>
    <x v="22"/>
    <s v="Spencer"/>
    <s v="Cruz"/>
    <x v="3"/>
    <n v="9683"/>
    <s v="On Account"/>
    <n v="15000"/>
    <n v="0"/>
    <n v="-5317"/>
  </r>
  <r>
    <d v="2021-11-01T00:00:00"/>
    <x v="20"/>
    <s v="Ally"/>
    <s v="Bryant"/>
    <x v="3"/>
    <n v="14302.9"/>
    <s v="Credit Card"/>
    <n v="15000"/>
    <n v="0"/>
    <n v="-697.10000000000036"/>
  </r>
  <r>
    <d v="2021-11-01T00:00:00"/>
    <x v="19"/>
    <s v="Nina"/>
    <s v="McDonald"/>
    <x v="3"/>
    <n v="16806.400000000001"/>
    <s v="Credit Card"/>
    <n v="15000"/>
    <n v="1680.6400000000003"/>
    <n v="1806.4000000000015"/>
  </r>
  <r>
    <d v="2021-11-01T00:00:00"/>
    <x v="24"/>
    <s v="Tia"/>
    <s v="Cruise"/>
    <x v="3"/>
    <n v="20797.200000000004"/>
    <s v="Cash"/>
    <n v="15000"/>
    <n v="2079.7200000000007"/>
    <n v="5797.2000000000044"/>
  </r>
  <r>
    <d v="2021-11-01T00:00:00"/>
    <x v="22"/>
    <s v="Spencer"/>
    <s v="Cruz"/>
    <x v="3"/>
    <n v="26866"/>
    <s v="On Account"/>
    <n v="15000"/>
    <n v="2686.6000000000004"/>
    <n v="11866"/>
  </r>
  <r>
    <d v="2021-12-01T00:00:00"/>
    <x v="15"/>
    <m/>
    <m/>
    <x v="3"/>
    <n v="700.92000000000007"/>
    <s v="Cash"/>
    <n v="15000"/>
    <n v="0"/>
    <n v="-14299.08"/>
  </r>
  <r>
    <d v="2021-12-01T00:00:00"/>
    <x v="17"/>
    <m/>
    <m/>
    <x v="3"/>
    <n v="891.44999999999993"/>
    <s v="Credit Card"/>
    <n v="15000"/>
    <n v="0"/>
    <n v="-14108.55"/>
  </r>
  <r>
    <d v="2021-12-01T00:00:00"/>
    <x v="18"/>
    <m/>
    <m/>
    <x v="3"/>
    <n v="708.89"/>
    <s v="Credit Card"/>
    <n v="15000"/>
    <n v="0"/>
    <n v="-14291.11"/>
  </r>
  <r>
    <d v="2021-12-01T00:00:00"/>
    <x v="15"/>
    <m/>
    <m/>
    <x v="3"/>
    <n v="809.55"/>
    <s v="Credit Card"/>
    <n v="15000"/>
    <n v="0"/>
    <n v="-14190.45"/>
  </r>
  <r>
    <d v="2021-12-01T00:00:00"/>
    <x v="22"/>
    <s v="Spencer"/>
    <s v="Cruz"/>
    <x v="3"/>
    <n v="7009.2000000000007"/>
    <s v="Cash"/>
    <n v="15000"/>
    <n v="0"/>
    <n v="-7990.7999999999993"/>
  </r>
  <r>
    <d v="2021-12-01T00:00:00"/>
    <x v="21"/>
    <s v="Josh"/>
    <s v="Sutherland"/>
    <x v="3"/>
    <n v="7088.9"/>
    <s v="Credit Card"/>
    <n v="15000"/>
    <n v="0"/>
    <n v="-7911.1"/>
  </r>
  <r>
    <d v="2021-12-01T00:00:00"/>
    <x v="22"/>
    <s v="Spencer"/>
    <s v="Cruz"/>
    <x v="3"/>
    <n v="8095.5"/>
    <s v="Credit Card"/>
    <n v="15000"/>
    <n v="0"/>
    <n v="-6904.5"/>
  </r>
  <r>
    <d v="2021-12-01T00:00:00"/>
    <x v="19"/>
    <s v="Nina"/>
    <s v="McDonald"/>
    <x v="3"/>
    <n v="8914.5"/>
    <s v="Credit Card"/>
    <n v="15000"/>
    <n v="0"/>
    <n v="-6085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DC1F6-41BA-40B5-AD5D-BEDD8C83A50E}" name="Sale_20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P2:R7" firstHeaderRow="0" firstDataRow="1" firstDataCol="1"/>
  <pivotFields count="10">
    <pivotField compact="0" numFmtId="17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outline="0" showAll="0"/>
    <pivotField compact="0" numFmtId="164" outline="0" showAll="0"/>
    <pivotField dataField="1" compact="0" numFmtId="164" outline="0" showAll="0"/>
    <pivotField compact="0" numFmtId="165" outline="0" showAll="0"/>
  </pivotFields>
  <rowFields count="1">
    <field x="4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5" baseField="4" baseItem="2" numFmtId="164"/>
    <dataField name="Commission" fld="8" baseField="4" baseItem="2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077B-CF57-4405-A7EC-93E57E0F5398}">
  <sheetPr>
    <tabColor rgb="FF00B0F0"/>
  </sheetPr>
  <dimension ref="B1:F14"/>
  <sheetViews>
    <sheetView zoomScale="85" zoomScaleNormal="85" workbookViewId="0">
      <selection activeCell="C13" sqref="C13"/>
    </sheetView>
  </sheetViews>
  <sheetFormatPr defaultRowHeight="15" x14ac:dyDescent="0.25"/>
  <cols>
    <col min="3" max="3" width="13.85546875" customWidth="1"/>
  </cols>
  <sheetData>
    <row r="1" spans="2:6" ht="15.75" thickBot="1" x14ac:dyDescent="0.3"/>
    <row r="2" spans="2:6" ht="15.75" thickTop="1" x14ac:dyDescent="0.25">
      <c r="B2" s="30" t="s">
        <v>85</v>
      </c>
      <c r="C2" s="30"/>
      <c r="D2" s="30"/>
      <c r="E2" s="30"/>
      <c r="F2" s="30"/>
    </row>
    <row r="3" spans="2:6" ht="15.75" thickBot="1" x14ac:dyDescent="0.3">
      <c r="B3" s="31"/>
      <c r="C3" s="31"/>
      <c r="D3" s="31"/>
      <c r="E3" s="31"/>
      <c r="F3" s="31"/>
    </row>
    <row r="4" spans="2:6" ht="15.75" thickTop="1" x14ac:dyDescent="0.25"/>
    <row r="6" spans="2:6" x14ac:dyDescent="0.25">
      <c r="B6" s="2" t="s">
        <v>86</v>
      </c>
    </row>
    <row r="7" spans="2:6" x14ac:dyDescent="0.25">
      <c r="C7" s="12" t="s">
        <v>87</v>
      </c>
    </row>
    <row r="8" spans="2:6" x14ac:dyDescent="0.25">
      <c r="C8" s="13" t="s">
        <v>88</v>
      </c>
      <c r="D8" s="12" t="s">
        <v>33</v>
      </c>
    </row>
    <row r="9" spans="2:6" x14ac:dyDescent="0.25">
      <c r="D9" s="12" t="s">
        <v>26</v>
      </c>
    </row>
    <row r="10" spans="2:6" x14ac:dyDescent="0.25">
      <c r="D10" s="12" t="s">
        <v>10</v>
      </c>
    </row>
    <row r="11" spans="2:6" x14ac:dyDescent="0.25">
      <c r="D11" s="12" t="s">
        <v>22</v>
      </c>
    </row>
    <row r="12" spans="2:6" x14ac:dyDescent="0.25">
      <c r="C12" s="12" t="s">
        <v>89</v>
      </c>
    </row>
    <row r="13" spans="2:6" x14ac:dyDescent="0.25">
      <c r="C13" s="12" t="s">
        <v>90</v>
      </c>
    </row>
    <row r="14" spans="2:6" x14ac:dyDescent="0.25">
      <c r="C14" s="12" t="s">
        <v>91</v>
      </c>
    </row>
  </sheetData>
  <mergeCells count="1">
    <mergeCell ref="B2:F3"/>
  </mergeCells>
  <hyperlinks>
    <hyperlink ref="C7" location="'All Sales'!A1" display="All Sales" xr:uid="{6F5018AB-6663-4827-A3E5-34D91CC4A48E}"/>
    <hyperlink ref="D8" location="North!A1" display="North" xr:uid="{7A923331-50DD-45DD-B2E3-247AA96BACC1}"/>
    <hyperlink ref="D9" location="South!A1" display="South" xr:uid="{FCECB3DC-CD70-454F-9261-1EE5FA32502D}"/>
    <hyperlink ref="D10" location="East!A1" display="East" xr:uid="{713E9EAE-1A62-4FE1-A65E-57E59EB46908}"/>
    <hyperlink ref="D11" location="West!A1" display="West" xr:uid="{39628F59-676C-4A16-881C-68D8453F7DD9}"/>
    <hyperlink ref="C12" location="Chart!A1" display="Chart" xr:uid="{E2B37562-3C71-45DA-84AB-572DDBD8BDE3}"/>
    <hyperlink ref="C13" location="'Sales Analysis'!A1" display="Sales Analysis" xr:uid="{120B0C93-2615-43ED-AB30-FA58541AE4DB}"/>
    <hyperlink ref="C14" location="'New Staff'!A1" display="New Staff" xr:uid="{D83BB01E-2289-4E5E-A8B6-BC51FF8F7D8C}"/>
  </hyperlinks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0037-2BC2-4571-9E50-1EF9658C6B29}">
  <sheetPr>
    <tabColor theme="9" tint="-0.499984740745262"/>
  </sheetPr>
  <dimension ref="A1:R488"/>
  <sheetViews>
    <sheetView zoomScale="85" zoomScaleNormal="85" workbookViewId="0">
      <selection activeCell="L8" sqref="L8"/>
    </sheetView>
  </sheetViews>
  <sheetFormatPr defaultRowHeight="15" x14ac:dyDescent="0.25"/>
  <cols>
    <col min="1" max="1" width="7.5703125" bestFit="1" customWidth="1"/>
    <col min="2" max="3" width="18.140625" bestFit="1" customWidth="1"/>
    <col min="4" max="4" width="10.5703125" bestFit="1" customWidth="1"/>
    <col min="5" max="5" width="11.7109375" bestFit="1" customWidth="1"/>
    <col min="6" max="6" width="10.140625" bestFit="1" customWidth="1"/>
    <col min="7" max="7" width="13.28515625" bestFit="1" customWidth="1"/>
    <col min="8" max="8" width="13.7109375" bestFit="1" customWidth="1"/>
    <col min="9" max="9" width="7.42578125" bestFit="1" customWidth="1"/>
    <col min="10" max="10" width="12.7109375" bestFit="1" customWidth="1"/>
    <col min="12" max="12" width="12.85546875" customWidth="1"/>
  </cols>
  <sheetData>
    <row r="1" spans="1:1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74</v>
      </c>
      <c r="J1" s="2" t="s">
        <v>75</v>
      </c>
      <c r="L1" s="2" t="s">
        <v>76</v>
      </c>
    </row>
    <row r="2" spans="1:18" x14ac:dyDescent="0.25">
      <c r="A2" s="1">
        <v>44197</v>
      </c>
      <c r="B2" t="s">
        <v>16</v>
      </c>
      <c r="C2" t="str">
        <f>TRIM(B2)</f>
        <v>Reza Jafari</v>
      </c>
      <c r="D2" t="s">
        <v>17</v>
      </c>
      <c r="E2" t="s">
        <v>18</v>
      </c>
      <c r="F2" t="s">
        <v>10</v>
      </c>
      <c r="G2" s="4">
        <v>2954.7</v>
      </c>
      <c r="H2" t="s">
        <v>15</v>
      </c>
      <c r="I2">
        <v>15000</v>
      </c>
      <c r="J2" s="4">
        <f>IF(G2&gt;=I2,G2*$L$2,0)</f>
        <v>0</v>
      </c>
      <c r="L2" s="3">
        <v>0.1</v>
      </c>
      <c r="R2" s="12" t="s">
        <v>136</v>
      </c>
    </row>
    <row r="3" spans="1:18" x14ac:dyDescent="0.25">
      <c r="A3" s="1">
        <v>44197</v>
      </c>
      <c r="B3" t="s">
        <v>68</v>
      </c>
      <c r="C3" t="str">
        <f>TRIM(B3)</f>
        <v>Bryan Maldonado</v>
      </c>
      <c r="D3" t="s">
        <v>69</v>
      </c>
      <c r="E3" t="s">
        <v>70</v>
      </c>
      <c r="F3" t="s">
        <v>10</v>
      </c>
      <c r="G3" s="4">
        <v>6796.7999999999993</v>
      </c>
      <c r="H3" t="s">
        <v>11</v>
      </c>
      <c r="I3">
        <v>15000</v>
      </c>
      <c r="J3" s="4">
        <f t="shared" ref="J3:J66" si="0">IF(G3&gt;=I3,G3*$L$2,0)</f>
        <v>0</v>
      </c>
    </row>
    <row r="4" spans="1:18" x14ac:dyDescent="0.25">
      <c r="A4" s="1">
        <v>44197</v>
      </c>
      <c r="B4" t="s">
        <v>68</v>
      </c>
      <c r="C4" t="str">
        <f>TRIM(B4)</f>
        <v>Bryan Maldonado</v>
      </c>
      <c r="D4" t="s">
        <v>69</v>
      </c>
      <c r="E4" t="s">
        <v>70</v>
      </c>
      <c r="F4" t="s">
        <v>10</v>
      </c>
      <c r="G4" s="4">
        <v>8188</v>
      </c>
      <c r="H4" t="s">
        <v>43</v>
      </c>
      <c r="I4">
        <v>15000</v>
      </c>
      <c r="J4" s="4">
        <f t="shared" si="0"/>
        <v>0</v>
      </c>
    </row>
    <row r="5" spans="1:18" x14ac:dyDescent="0.25">
      <c r="A5" s="1">
        <v>44197</v>
      </c>
      <c r="B5" t="s">
        <v>16</v>
      </c>
      <c r="C5" t="str">
        <f t="shared" ref="C5:C66" si="1">TRIM(B5)</f>
        <v>Reza Jafari</v>
      </c>
      <c r="D5" t="s">
        <v>17</v>
      </c>
      <c r="E5" t="s">
        <v>18</v>
      </c>
      <c r="F5" t="s">
        <v>10</v>
      </c>
      <c r="G5" s="4">
        <v>9058.4</v>
      </c>
      <c r="H5" t="s">
        <v>11</v>
      </c>
      <c r="I5">
        <v>15000</v>
      </c>
      <c r="J5" s="4">
        <f t="shared" si="0"/>
        <v>0</v>
      </c>
    </row>
    <row r="6" spans="1:18" x14ac:dyDescent="0.25">
      <c r="A6" s="1">
        <v>44197</v>
      </c>
      <c r="B6" t="s">
        <v>68</v>
      </c>
      <c r="C6" t="str">
        <f t="shared" si="1"/>
        <v>Bryan Maldonado</v>
      </c>
      <c r="D6" t="s">
        <v>69</v>
      </c>
      <c r="E6" t="s">
        <v>70</v>
      </c>
      <c r="F6" t="s">
        <v>10</v>
      </c>
      <c r="G6" s="4">
        <v>12096</v>
      </c>
      <c r="H6" t="s">
        <v>43</v>
      </c>
      <c r="I6">
        <v>15000</v>
      </c>
      <c r="J6" s="4">
        <f t="shared" si="0"/>
        <v>0</v>
      </c>
    </row>
    <row r="7" spans="1:18" x14ac:dyDescent="0.25">
      <c r="A7" s="1">
        <v>44197</v>
      </c>
      <c r="B7" t="s">
        <v>7</v>
      </c>
      <c r="C7" t="str">
        <f t="shared" si="1"/>
        <v>Ashley Almanza</v>
      </c>
      <c r="D7" t="s">
        <v>8</v>
      </c>
      <c r="E7" t="s">
        <v>9</v>
      </c>
      <c r="F7" t="s">
        <v>10</v>
      </c>
      <c r="G7" s="4">
        <v>15029</v>
      </c>
      <c r="H7" t="s">
        <v>15</v>
      </c>
      <c r="I7">
        <v>15000</v>
      </c>
      <c r="J7" s="4">
        <f t="shared" si="0"/>
        <v>1502.9</v>
      </c>
    </row>
    <row r="8" spans="1:18" x14ac:dyDescent="0.25">
      <c r="A8" s="1">
        <v>44197</v>
      </c>
      <c r="B8" t="s">
        <v>7</v>
      </c>
      <c r="C8" t="str">
        <f t="shared" si="1"/>
        <v>Ashley Almanza</v>
      </c>
      <c r="D8" t="s">
        <v>8</v>
      </c>
      <c r="E8" t="s">
        <v>9</v>
      </c>
      <c r="F8" t="s">
        <v>10</v>
      </c>
      <c r="G8" s="4">
        <v>15264</v>
      </c>
      <c r="H8" t="s">
        <v>15</v>
      </c>
      <c r="I8">
        <v>15000</v>
      </c>
      <c r="J8" s="4">
        <f t="shared" si="0"/>
        <v>1526.4</v>
      </c>
    </row>
    <row r="9" spans="1:18" x14ac:dyDescent="0.25">
      <c r="A9" s="1">
        <v>44197</v>
      </c>
      <c r="B9" t="s">
        <v>7</v>
      </c>
      <c r="C9" t="str">
        <f t="shared" si="1"/>
        <v>Ashley Almanza</v>
      </c>
      <c r="D9" t="s">
        <v>8</v>
      </c>
      <c r="E9" t="s">
        <v>9</v>
      </c>
      <c r="F9" t="s">
        <v>10</v>
      </c>
      <c r="G9" s="4">
        <v>17353.599999999999</v>
      </c>
      <c r="H9" t="s">
        <v>11</v>
      </c>
      <c r="I9">
        <v>15000</v>
      </c>
      <c r="J9" s="4">
        <f t="shared" si="0"/>
        <v>1735.36</v>
      </c>
    </row>
    <row r="10" spans="1:18" x14ac:dyDescent="0.25">
      <c r="A10" s="1">
        <v>44197</v>
      </c>
      <c r="B10" t="s">
        <v>12</v>
      </c>
      <c r="C10" t="str">
        <f t="shared" si="1"/>
        <v>Derek Godwin</v>
      </c>
      <c r="D10" t="s">
        <v>13</v>
      </c>
      <c r="E10" t="s">
        <v>14</v>
      </c>
      <c r="F10" t="s">
        <v>10</v>
      </c>
      <c r="G10" s="4">
        <v>20140</v>
      </c>
      <c r="H10" t="s">
        <v>43</v>
      </c>
      <c r="I10">
        <v>15000</v>
      </c>
      <c r="J10" s="4">
        <f t="shared" si="0"/>
        <v>2014</v>
      </c>
    </row>
    <row r="11" spans="1:18" x14ac:dyDescent="0.25">
      <c r="A11" s="1">
        <v>44197</v>
      </c>
      <c r="B11" t="s">
        <v>12</v>
      </c>
      <c r="C11" t="str">
        <f t="shared" si="1"/>
        <v>Derek Godwin</v>
      </c>
      <c r="D11" t="s">
        <v>13</v>
      </c>
      <c r="E11" t="s">
        <v>14</v>
      </c>
      <c r="F11" t="s">
        <v>10</v>
      </c>
      <c r="G11" s="4">
        <v>35649</v>
      </c>
      <c r="H11" t="s">
        <v>11</v>
      </c>
      <c r="I11">
        <v>15000</v>
      </c>
      <c r="J11" s="4">
        <f t="shared" si="0"/>
        <v>3564.9</v>
      </c>
    </row>
    <row r="12" spans="1:18" x14ac:dyDescent="0.25">
      <c r="A12" s="1">
        <v>44228</v>
      </c>
      <c r="B12" t="s">
        <v>27</v>
      </c>
      <c r="C12" t="str">
        <f t="shared" si="1"/>
        <v>Gordon Beswick</v>
      </c>
      <c r="D12" t="s">
        <v>28</v>
      </c>
      <c r="E12" t="s">
        <v>29</v>
      </c>
      <c r="F12" t="s">
        <v>10</v>
      </c>
      <c r="G12" s="4">
        <v>7717.5</v>
      </c>
      <c r="H12" t="s">
        <v>43</v>
      </c>
      <c r="I12">
        <v>15000</v>
      </c>
      <c r="J12" s="4">
        <f t="shared" si="0"/>
        <v>0</v>
      </c>
    </row>
    <row r="13" spans="1:18" x14ac:dyDescent="0.25">
      <c r="A13" s="1">
        <v>44228</v>
      </c>
      <c r="B13" t="s">
        <v>27</v>
      </c>
      <c r="C13" t="str">
        <f t="shared" si="1"/>
        <v>Gordon Beswick</v>
      </c>
      <c r="D13" t="s">
        <v>28</v>
      </c>
      <c r="E13" t="s">
        <v>29</v>
      </c>
      <c r="F13" t="s">
        <v>10</v>
      </c>
      <c r="G13" s="4">
        <v>11617.6</v>
      </c>
      <c r="H13" t="s">
        <v>15</v>
      </c>
      <c r="I13">
        <v>15000</v>
      </c>
      <c r="J13" s="4">
        <f t="shared" si="0"/>
        <v>0</v>
      </c>
    </row>
    <row r="14" spans="1:18" x14ac:dyDescent="0.25">
      <c r="A14" s="1">
        <v>44228</v>
      </c>
      <c r="B14" t="s">
        <v>12</v>
      </c>
      <c r="C14" t="str">
        <f t="shared" si="1"/>
        <v>Derek Godwin</v>
      </c>
      <c r="D14" t="s">
        <v>13</v>
      </c>
      <c r="E14" t="s">
        <v>14</v>
      </c>
      <c r="F14" t="s">
        <v>10</v>
      </c>
      <c r="G14" s="4">
        <v>19431</v>
      </c>
      <c r="H14" t="s">
        <v>15</v>
      </c>
      <c r="I14">
        <v>15000</v>
      </c>
      <c r="J14" s="4">
        <f t="shared" si="0"/>
        <v>1943.1000000000001</v>
      </c>
    </row>
    <row r="15" spans="1:18" x14ac:dyDescent="0.25">
      <c r="A15" s="1">
        <v>44228</v>
      </c>
      <c r="B15" t="s">
        <v>7</v>
      </c>
      <c r="C15" t="str">
        <f t="shared" si="1"/>
        <v>Ashley Almanza</v>
      </c>
      <c r="D15" t="s">
        <v>8</v>
      </c>
      <c r="E15" t="s">
        <v>9</v>
      </c>
      <c r="F15" t="s">
        <v>10</v>
      </c>
      <c r="G15" s="4">
        <v>21169.599999999999</v>
      </c>
      <c r="H15" t="s">
        <v>15</v>
      </c>
      <c r="I15">
        <v>15000</v>
      </c>
      <c r="J15" s="4">
        <f t="shared" si="0"/>
        <v>2116.96</v>
      </c>
    </row>
    <row r="16" spans="1:18" x14ac:dyDescent="0.25">
      <c r="A16" s="1">
        <v>44228</v>
      </c>
      <c r="B16" t="s">
        <v>16</v>
      </c>
      <c r="C16" t="str">
        <f t="shared" si="1"/>
        <v>Reza Jafari</v>
      </c>
      <c r="D16" t="s">
        <v>17</v>
      </c>
      <c r="E16" t="s">
        <v>18</v>
      </c>
      <c r="F16" t="s">
        <v>10</v>
      </c>
      <c r="G16" s="4">
        <v>29158.400000000001</v>
      </c>
      <c r="H16" t="s">
        <v>15</v>
      </c>
      <c r="I16">
        <v>15000</v>
      </c>
      <c r="J16" s="4">
        <f t="shared" si="0"/>
        <v>2915.84</v>
      </c>
    </row>
    <row r="17" spans="1:10" x14ac:dyDescent="0.25">
      <c r="A17" s="1">
        <v>44228</v>
      </c>
      <c r="B17" t="s">
        <v>12</v>
      </c>
      <c r="C17" t="str">
        <f t="shared" si="1"/>
        <v>Derek Godwin</v>
      </c>
      <c r="D17" t="s">
        <v>13</v>
      </c>
      <c r="E17" t="s">
        <v>14</v>
      </c>
      <c r="F17" t="s">
        <v>10</v>
      </c>
      <c r="G17" s="4">
        <v>30305</v>
      </c>
      <c r="H17" t="s">
        <v>11</v>
      </c>
      <c r="I17">
        <v>15000</v>
      </c>
      <c r="J17" s="4">
        <f t="shared" si="0"/>
        <v>3030.5</v>
      </c>
    </row>
    <row r="18" spans="1:10" x14ac:dyDescent="0.25">
      <c r="A18" s="1">
        <v>44228</v>
      </c>
      <c r="B18" t="s">
        <v>27</v>
      </c>
      <c r="C18" t="str">
        <f t="shared" si="1"/>
        <v>Gordon Beswick</v>
      </c>
      <c r="D18" t="s">
        <v>28</v>
      </c>
      <c r="E18" t="s">
        <v>29</v>
      </c>
      <c r="F18" t="s">
        <v>10</v>
      </c>
      <c r="G18" s="4">
        <v>43184.399999999994</v>
      </c>
      <c r="H18" t="s">
        <v>43</v>
      </c>
      <c r="I18">
        <v>15000</v>
      </c>
      <c r="J18" s="4">
        <f t="shared" si="0"/>
        <v>4318.4399999999996</v>
      </c>
    </row>
    <row r="19" spans="1:10" x14ac:dyDescent="0.25">
      <c r="A19" s="1">
        <v>44256</v>
      </c>
      <c r="B19" t="s">
        <v>12</v>
      </c>
      <c r="C19" t="str">
        <f t="shared" si="1"/>
        <v>Derek Godwin</v>
      </c>
      <c r="D19" t="s">
        <v>13</v>
      </c>
      <c r="E19" t="s">
        <v>14</v>
      </c>
      <c r="F19" t="s">
        <v>10</v>
      </c>
      <c r="G19" s="4">
        <v>2311.5</v>
      </c>
      <c r="H19" t="s">
        <v>15</v>
      </c>
      <c r="I19">
        <v>15000</v>
      </c>
      <c r="J19" s="4">
        <f t="shared" si="0"/>
        <v>0</v>
      </c>
    </row>
    <row r="20" spans="1:10" x14ac:dyDescent="0.25">
      <c r="A20" s="1">
        <v>44256</v>
      </c>
      <c r="B20" t="s">
        <v>27</v>
      </c>
      <c r="C20" t="str">
        <f t="shared" si="1"/>
        <v>Gordon Beswick</v>
      </c>
      <c r="D20" t="s">
        <v>28</v>
      </c>
      <c r="E20" t="s">
        <v>29</v>
      </c>
      <c r="F20" t="s">
        <v>10</v>
      </c>
      <c r="G20" s="4">
        <v>3013.5</v>
      </c>
      <c r="H20" t="s">
        <v>15</v>
      </c>
      <c r="I20">
        <v>15000</v>
      </c>
      <c r="J20" s="4">
        <f t="shared" si="0"/>
        <v>0</v>
      </c>
    </row>
    <row r="21" spans="1:10" x14ac:dyDescent="0.25">
      <c r="A21" s="1">
        <v>44256</v>
      </c>
      <c r="B21" t="s">
        <v>27</v>
      </c>
      <c r="C21" t="str">
        <f t="shared" si="1"/>
        <v>Gordon Beswick</v>
      </c>
      <c r="D21" t="s">
        <v>28</v>
      </c>
      <c r="E21" t="s">
        <v>29</v>
      </c>
      <c r="F21" t="s">
        <v>10</v>
      </c>
      <c r="G21" s="4">
        <v>5287.5</v>
      </c>
      <c r="H21" t="s">
        <v>15</v>
      </c>
      <c r="I21">
        <v>15000</v>
      </c>
      <c r="J21" s="4">
        <f t="shared" si="0"/>
        <v>0</v>
      </c>
    </row>
    <row r="22" spans="1:10" x14ac:dyDescent="0.25">
      <c r="A22" s="1">
        <v>44256</v>
      </c>
      <c r="B22" t="s">
        <v>16</v>
      </c>
      <c r="C22" t="str">
        <f t="shared" si="1"/>
        <v>Reza Jafari</v>
      </c>
      <c r="D22" t="s">
        <v>17</v>
      </c>
      <c r="E22" t="s">
        <v>18</v>
      </c>
      <c r="F22" t="s">
        <v>10</v>
      </c>
      <c r="G22" s="4">
        <v>13797</v>
      </c>
      <c r="H22" t="s">
        <v>11</v>
      </c>
      <c r="I22">
        <v>15000</v>
      </c>
      <c r="J22" s="4">
        <f t="shared" si="0"/>
        <v>0</v>
      </c>
    </row>
    <row r="23" spans="1:10" x14ac:dyDescent="0.25">
      <c r="A23" s="1">
        <v>44256</v>
      </c>
      <c r="B23" t="s">
        <v>68</v>
      </c>
      <c r="C23" t="str">
        <f t="shared" si="1"/>
        <v>Bryan Maldonado</v>
      </c>
      <c r="D23" t="s">
        <v>69</v>
      </c>
      <c r="E23" t="s">
        <v>70</v>
      </c>
      <c r="F23" t="s">
        <v>10</v>
      </c>
      <c r="G23" s="4">
        <v>14063</v>
      </c>
      <c r="H23" t="s">
        <v>15</v>
      </c>
      <c r="I23">
        <v>15000</v>
      </c>
      <c r="J23" s="4">
        <f t="shared" si="0"/>
        <v>0</v>
      </c>
    </row>
    <row r="24" spans="1:10" x14ac:dyDescent="0.25">
      <c r="A24" s="1">
        <v>44256</v>
      </c>
      <c r="B24" t="s">
        <v>16</v>
      </c>
      <c r="C24" t="str">
        <f t="shared" si="1"/>
        <v>Reza Jafari</v>
      </c>
      <c r="D24" t="s">
        <v>17</v>
      </c>
      <c r="E24" t="s">
        <v>18</v>
      </c>
      <c r="F24" t="s">
        <v>10</v>
      </c>
      <c r="G24" s="4">
        <v>14608.300000000001</v>
      </c>
      <c r="H24" t="s">
        <v>11</v>
      </c>
      <c r="I24">
        <v>15000</v>
      </c>
      <c r="J24" s="4">
        <f t="shared" si="0"/>
        <v>0</v>
      </c>
    </row>
    <row r="25" spans="1:10" x14ac:dyDescent="0.25">
      <c r="A25" s="1">
        <v>44256</v>
      </c>
      <c r="B25" t="s">
        <v>27</v>
      </c>
      <c r="C25" t="str">
        <f t="shared" si="1"/>
        <v>Gordon Beswick</v>
      </c>
      <c r="D25" t="s">
        <v>28</v>
      </c>
      <c r="E25" t="s">
        <v>29</v>
      </c>
      <c r="F25" t="s">
        <v>10</v>
      </c>
      <c r="G25" s="4">
        <v>16063.199999999999</v>
      </c>
      <c r="H25" t="s">
        <v>15</v>
      </c>
      <c r="I25">
        <v>15000</v>
      </c>
      <c r="J25" s="4">
        <f t="shared" si="0"/>
        <v>1606.32</v>
      </c>
    </row>
    <row r="26" spans="1:10" x14ac:dyDescent="0.25">
      <c r="A26" s="1">
        <v>44256</v>
      </c>
      <c r="B26" t="s">
        <v>12</v>
      </c>
      <c r="C26" t="str">
        <f t="shared" si="1"/>
        <v>Derek Godwin</v>
      </c>
      <c r="D26" t="s">
        <v>13</v>
      </c>
      <c r="E26" t="s">
        <v>14</v>
      </c>
      <c r="F26" t="s">
        <v>10</v>
      </c>
      <c r="G26" s="4">
        <v>16836</v>
      </c>
      <c r="H26" t="s">
        <v>11</v>
      </c>
      <c r="I26">
        <v>15000</v>
      </c>
      <c r="J26" s="4">
        <f t="shared" si="0"/>
        <v>1683.6000000000001</v>
      </c>
    </row>
    <row r="27" spans="1:10" x14ac:dyDescent="0.25">
      <c r="A27" s="1">
        <v>44256</v>
      </c>
      <c r="B27" t="s">
        <v>27</v>
      </c>
      <c r="C27" t="str">
        <f t="shared" si="1"/>
        <v>Gordon Beswick</v>
      </c>
      <c r="D27" t="s">
        <v>28</v>
      </c>
      <c r="E27" t="s">
        <v>29</v>
      </c>
      <c r="F27" t="s">
        <v>10</v>
      </c>
      <c r="G27" s="4">
        <v>19594</v>
      </c>
      <c r="H27" t="s">
        <v>43</v>
      </c>
      <c r="I27">
        <v>15000</v>
      </c>
      <c r="J27" s="4">
        <f t="shared" si="0"/>
        <v>1959.4</v>
      </c>
    </row>
    <row r="28" spans="1:10" x14ac:dyDescent="0.25">
      <c r="A28" s="1">
        <v>44256</v>
      </c>
      <c r="B28" t="s">
        <v>12</v>
      </c>
      <c r="C28" t="str">
        <f t="shared" si="1"/>
        <v>Derek Godwin</v>
      </c>
      <c r="D28" t="s">
        <v>13</v>
      </c>
      <c r="E28" t="s">
        <v>14</v>
      </c>
      <c r="F28" t="s">
        <v>10</v>
      </c>
      <c r="G28" s="4">
        <v>21654.400000000001</v>
      </c>
      <c r="H28" t="s">
        <v>15</v>
      </c>
      <c r="I28">
        <v>15000</v>
      </c>
      <c r="J28" s="4">
        <f t="shared" si="0"/>
        <v>2165.44</v>
      </c>
    </row>
    <row r="29" spans="1:10" x14ac:dyDescent="0.25">
      <c r="A29" s="1">
        <v>44256</v>
      </c>
      <c r="B29" t="s">
        <v>68</v>
      </c>
      <c r="C29" t="str">
        <f t="shared" si="1"/>
        <v>Bryan Maldonado</v>
      </c>
      <c r="D29" t="s">
        <v>69</v>
      </c>
      <c r="E29" t="s">
        <v>70</v>
      </c>
      <c r="F29" t="s">
        <v>10</v>
      </c>
      <c r="G29" s="4">
        <v>27930</v>
      </c>
      <c r="H29" t="s">
        <v>11</v>
      </c>
      <c r="I29">
        <v>15000</v>
      </c>
      <c r="J29" s="4">
        <f t="shared" si="0"/>
        <v>2793</v>
      </c>
    </row>
    <row r="30" spans="1:10" x14ac:dyDescent="0.25">
      <c r="A30" s="1">
        <v>44256</v>
      </c>
      <c r="B30" t="s">
        <v>7</v>
      </c>
      <c r="C30" t="str">
        <f t="shared" si="1"/>
        <v>Ashley Almanza</v>
      </c>
      <c r="D30" t="s">
        <v>8</v>
      </c>
      <c r="E30" t="s">
        <v>9</v>
      </c>
      <c r="F30" t="s">
        <v>10</v>
      </c>
      <c r="G30" s="4">
        <v>39065.899999999994</v>
      </c>
      <c r="H30" t="s">
        <v>15</v>
      </c>
      <c r="I30">
        <v>15000</v>
      </c>
      <c r="J30" s="4">
        <f t="shared" si="0"/>
        <v>3906.5899999999997</v>
      </c>
    </row>
    <row r="31" spans="1:10" x14ac:dyDescent="0.25">
      <c r="A31" s="1">
        <v>44256</v>
      </c>
      <c r="B31" t="s">
        <v>27</v>
      </c>
      <c r="C31" t="str">
        <f t="shared" si="1"/>
        <v>Gordon Beswick</v>
      </c>
      <c r="D31" t="s">
        <v>28</v>
      </c>
      <c r="E31" t="s">
        <v>29</v>
      </c>
      <c r="F31" t="s">
        <v>10</v>
      </c>
      <c r="G31" s="4">
        <v>44422</v>
      </c>
      <c r="H31" t="s">
        <v>43</v>
      </c>
      <c r="I31">
        <v>15000</v>
      </c>
      <c r="J31" s="4">
        <f t="shared" si="0"/>
        <v>4442.2</v>
      </c>
    </row>
    <row r="32" spans="1:10" x14ac:dyDescent="0.25">
      <c r="A32" s="1">
        <v>44287</v>
      </c>
      <c r="B32" t="s">
        <v>68</v>
      </c>
      <c r="C32" t="str">
        <f t="shared" si="1"/>
        <v>Bryan Maldonado</v>
      </c>
      <c r="D32" t="s">
        <v>69</v>
      </c>
      <c r="E32" t="s">
        <v>70</v>
      </c>
      <c r="F32" t="s">
        <v>10</v>
      </c>
      <c r="G32" s="4">
        <v>7029.9</v>
      </c>
      <c r="H32" t="s">
        <v>43</v>
      </c>
      <c r="I32">
        <v>15000</v>
      </c>
      <c r="J32" s="4">
        <f t="shared" si="0"/>
        <v>0</v>
      </c>
    </row>
    <row r="33" spans="1:10" x14ac:dyDescent="0.25">
      <c r="A33" s="1">
        <v>44287</v>
      </c>
      <c r="B33" t="s">
        <v>68</v>
      </c>
      <c r="C33" t="str">
        <f t="shared" si="1"/>
        <v>Bryan Maldonado</v>
      </c>
      <c r="D33" t="s">
        <v>69</v>
      </c>
      <c r="E33" t="s">
        <v>70</v>
      </c>
      <c r="F33" t="s">
        <v>10</v>
      </c>
      <c r="G33" s="4">
        <v>11914.400000000001</v>
      </c>
      <c r="H33" t="s">
        <v>15</v>
      </c>
      <c r="I33">
        <v>15000</v>
      </c>
      <c r="J33" s="4">
        <f t="shared" si="0"/>
        <v>0</v>
      </c>
    </row>
    <row r="34" spans="1:10" x14ac:dyDescent="0.25">
      <c r="A34" s="1">
        <v>44287</v>
      </c>
      <c r="B34" t="s">
        <v>7</v>
      </c>
      <c r="C34" t="str">
        <f t="shared" si="1"/>
        <v>Ashley Almanza</v>
      </c>
      <c r="D34" t="s">
        <v>8</v>
      </c>
      <c r="E34" t="s">
        <v>9</v>
      </c>
      <c r="F34" t="s">
        <v>10</v>
      </c>
      <c r="G34" s="4">
        <v>15919.7</v>
      </c>
      <c r="H34" t="s">
        <v>11</v>
      </c>
      <c r="I34">
        <v>15000</v>
      </c>
      <c r="J34" s="4">
        <f t="shared" si="0"/>
        <v>1591.9700000000003</v>
      </c>
    </row>
    <row r="35" spans="1:10" x14ac:dyDescent="0.25">
      <c r="A35" s="1">
        <v>44287</v>
      </c>
      <c r="B35" t="s">
        <v>16</v>
      </c>
      <c r="C35" t="str">
        <f t="shared" si="1"/>
        <v>Reza Jafari</v>
      </c>
      <c r="D35" t="s">
        <v>17</v>
      </c>
      <c r="E35" t="s">
        <v>18</v>
      </c>
      <c r="F35" t="s">
        <v>10</v>
      </c>
      <c r="G35" s="4">
        <v>17776</v>
      </c>
      <c r="H35" t="s">
        <v>43</v>
      </c>
      <c r="I35">
        <v>15000</v>
      </c>
      <c r="J35" s="4">
        <f t="shared" si="0"/>
        <v>1777.6000000000001</v>
      </c>
    </row>
    <row r="36" spans="1:10" x14ac:dyDescent="0.25">
      <c r="A36" s="1">
        <v>44287</v>
      </c>
      <c r="B36" t="s">
        <v>27</v>
      </c>
      <c r="C36" t="str">
        <f t="shared" si="1"/>
        <v>Gordon Beswick</v>
      </c>
      <c r="D36" t="s">
        <v>28</v>
      </c>
      <c r="E36" t="s">
        <v>29</v>
      </c>
      <c r="F36" t="s">
        <v>10</v>
      </c>
      <c r="G36" s="4">
        <v>36666</v>
      </c>
      <c r="H36" t="s">
        <v>15</v>
      </c>
      <c r="I36">
        <v>15000</v>
      </c>
      <c r="J36" s="4">
        <f t="shared" si="0"/>
        <v>3666.6000000000004</v>
      </c>
    </row>
    <row r="37" spans="1:10" x14ac:dyDescent="0.25">
      <c r="A37" s="1">
        <v>44287</v>
      </c>
      <c r="B37" t="s">
        <v>16</v>
      </c>
      <c r="C37" t="str">
        <f t="shared" si="1"/>
        <v>Reza Jafari</v>
      </c>
      <c r="D37" t="s">
        <v>17</v>
      </c>
      <c r="E37" t="s">
        <v>18</v>
      </c>
      <c r="F37" t="s">
        <v>10</v>
      </c>
      <c r="G37" s="4">
        <v>38227.699999999997</v>
      </c>
      <c r="H37" t="s">
        <v>11</v>
      </c>
      <c r="I37">
        <v>15000</v>
      </c>
      <c r="J37" s="4">
        <f t="shared" si="0"/>
        <v>3822.77</v>
      </c>
    </row>
    <row r="38" spans="1:10" x14ac:dyDescent="0.25">
      <c r="A38" s="1">
        <v>44287</v>
      </c>
      <c r="B38" t="s">
        <v>16</v>
      </c>
      <c r="C38" t="str">
        <f t="shared" si="1"/>
        <v>Reza Jafari</v>
      </c>
      <c r="D38" t="s">
        <v>17</v>
      </c>
      <c r="E38" t="s">
        <v>18</v>
      </c>
      <c r="F38" t="s">
        <v>10</v>
      </c>
      <c r="G38" s="4">
        <v>51531.199999999997</v>
      </c>
      <c r="H38" t="s">
        <v>43</v>
      </c>
      <c r="I38">
        <v>15000</v>
      </c>
      <c r="J38" s="4">
        <f t="shared" si="0"/>
        <v>5153.12</v>
      </c>
    </row>
    <row r="39" spans="1:10" x14ac:dyDescent="0.25">
      <c r="A39" s="1">
        <v>44317</v>
      </c>
      <c r="B39" t="s">
        <v>12</v>
      </c>
      <c r="C39" t="str">
        <f t="shared" si="1"/>
        <v>Derek Godwin</v>
      </c>
      <c r="D39" t="s">
        <v>13</v>
      </c>
      <c r="E39" t="s">
        <v>14</v>
      </c>
      <c r="F39" t="s">
        <v>10</v>
      </c>
      <c r="G39" s="4">
        <v>8686.6</v>
      </c>
      <c r="H39" t="s">
        <v>15</v>
      </c>
      <c r="I39">
        <v>15000</v>
      </c>
      <c r="J39" s="4">
        <f t="shared" si="0"/>
        <v>0</v>
      </c>
    </row>
    <row r="40" spans="1:10" x14ac:dyDescent="0.25">
      <c r="A40" s="1">
        <v>44317</v>
      </c>
      <c r="B40" t="s">
        <v>16</v>
      </c>
      <c r="C40" t="str">
        <f t="shared" si="1"/>
        <v>Reza Jafari</v>
      </c>
      <c r="D40" t="s">
        <v>17</v>
      </c>
      <c r="E40" t="s">
        <v>18</v>
      </c>
      <c r="F40" t="s">
        <v>10</v>
      </c>
      <c r="G40" s="4">
        <v>12422.2</v>
      </c>
      <c r="H40" t="s">
        <v>43</v>
      </c>
      <c r="I40">
        <v>15000</v>
      </c>
      <c r="J40" s="4">
        <f t="shared" si="0"/>
        <v>0</v>
      </c>
    </row>
    <row r="41" spans="1:10" x14ac:dyDescent="0.25">
      <c r="A41" s="1">
        <v>44317</v>
      </c>
      <c r="B41" t="s">
        <v>27</v>
      </c>
      <c r="C41" t="str">
        <f t="shared" si="1"/>
        <v>Gordon Beswick</v>
      </c>
      <c r="D41" t="s">
        <v>28</v>
      </c>
      <c r="E41" t="s">
        <v>29</v>
      </c>
      <c r="F41" t="s">
        <v>10</v>
      </c>
      <c r="G41" s="4">
        <v>15120</v>
      </c>
      <c r="H41" t="s">
        <v>15</v>
      </c>
      <c r="I41">
        <v>15000</v>
      </c>
      <c r="J41" s="4">
        <f t="shared" si="0"/>
        <v>1512</v>
      </c>
    </row>
    <row r="42" spans="1:10" x14ac:dyDescent="0.25">
      <c r="A42" s="1">
        <v>44317</v>
      </c>
      <c r="B42" t="s">
        <v>12</v>
      </c>
      <c r="C42" t="str">
        <f t="shared" si="1"/>
        <v>Derek Godwin</v>
      </c>
      <c r="D42" t="s">
        <v>13</v>
      </c>
      <c r="E42" t="s">
        <v>14</v>
      </c>
      <c r="F42" t="s">
        <v>10</v>
      </c>
      <c r="G42" s="4">
        <v>16604.400000000001</v>
      </c>
      <c r="H42" t="s">
        <v>43</v>
      </c>
      <c r="I42">
        <v>15000</v>
      </c>
      <c r="J42" s="4">
        <f t="shared" si="0"/>
        <v>1660.4400000000003</v>
      </c>
    </row>
    <row r="43" spans="1:10" x14ac:dyDescent="0.25">
      <c r="A43" s="1">
        <v>44317</v>
      </c>
      <c r="B43" t="s">
        <v>16</v>
      </c>
      <c r="C43" t="str">
        <f t="shared" si="1"/>
        <v>Reza Jafari</v>
      </c>
      <c r="D43" t="s">
        <v>17</v>
      </c>
      <c r="E43" t="s">
        <v>18</v>
      </c>
      <c r="F43" t="s">
        <v>10</v>
      </c>
      <c r="G43" s="4">
        <v>19584</v>
      </c>
      <c r="H43" t="s">
        <v>15</v>
      </c>
      <c r="I43">
        <v>15000</v>
      </c>
      <c r="J43" s="4">
        <f t="shared" si="0"/>
        <v>1958.4</v>
      </c>
    </row>
    <row r="44" spans="1:10" x14ac:dyDescent="0.25">
      <c r="A44" s="1">
        <v>44317</v>
      </c>
      <c r="B44" t="s">
        <v>7</v>
      </c>
      <c r="C44" t="str">
        <f t="shared" si="1"/>
        <v>Ashley Almanza</v>
      </c>
      <c r="D44" t="s">
        <v>8</v>
      </c>
      <c r="E44" t="s">
        <v>9</v>
      </c>
      <c r="F44" t="s">
        <v>10</v>
      </c>
      <c r="G44" s="4">
        <v>26546.6</v>
      </c>
      <c r="H44" t="s">
        <v>15</v>
      </c>
      <c r="I44">
        <v>15000</v>
      </c>
      <c r="J44" s="4">
        <f t="shared" si="0"/>
        <v>2654.66</v>
      </c>
    </row>
    <row r="45" spans="1:10" x14ac:dyDescent="0.25">
      <c r="A45" s="1">
        <v>44317</v>
      </c>
      <c r="B45" t="s">
        <v>7</v>
      </c>
      <c r="C45" t="str">
        <f t="shared" si="1"/>
        <v>Ashley Almanza</v>
      </c>
      <c r="D45" t="s">
        <v>8</v>
      </c>
      <c r="E45" t="s">
        <v>9</v>
      </c>
      <c r="F45" t="s">
        <v>10</v>
      </c>
      <c r="G45" s="4">
        <v>31200</v>
      </c>
      <c r="H45" t="s">
        <v>15</v>
      </c>
      <c r="I45">
        <v>15000</v>
      </c>
      <c r="J45" s="4">
        <f t="shared" si="0"/>
        <v>3120</v>
      </c>
    </row>
    <row r="46" spans="1:10" x14ac:dyDescent="0.25">
      <c r="A46" s="1">
        <v>44348</v>
      </c>
      <c r="B46" t="s">
        <v>7</v>
      </c>
      <c r="C46" t="str">
        <f t="shared" si="1"/>
        <v>Ashley Almanza</v>
      </c>
      <c r="D46" t="s">
        <v>8</v>
      </c>
      <c r="E46" t="s">
        <v>9</v>
      </c>
      <c r="F46" t="s">
        <v>10</v>
      </c>
      <c r="G46" s="4">
        <v>2070.2999999999997</v>
      </c>
      <c r="H46" t="s">
        <v>11</v>
      </c>
      <c r="I46">
        <v>15000</v>
      </c>
      <c r="J46" s="4">
        <f t="shared" si="0"/>
        <v>0</v>
      </c>
    </row>
    <row r="47" spans="1:10" x14ac:dyDescent="0.25">
      <c r="A47" s="1">
        <v>44348</v>
      </c>
      <c r="B47" t="s">
        <v>16</v>
      </c>
      <c r="C47" t="str">
        <f t="shared" si="1"/>
        <v>Reza Jafari</v>
      </c>
      <c r="D47" t="s">
        <v>17</v>
      </c>
      <c r="E47" t="s">
        <v>18</v>
      </c>
      <c r="F47" t="s">
        <v>10</v>
      </c>
      <c r="G47" s="4">
        <v>9499</v>
      </c>
      <c r="H47" t="s">
        <v>15</v>
      </c>
      <c r="I47">
        <v>15000</v>
      </c>
      <c r="J47" s="4">
        <f t="shared" si="0"/>
        <v>0</v>
      </c>
    </row>
    <row r="48" spans="1:10" x14ac:dyDescent="0.25">
      <c r="A48" s="1">
        <v>44348</v>
      </c>
      <c r="B48" t="s">
        <v>16</v>
      </c>
      <c r="C48" t="str">
        <f t="shared" si="1"/>
        <v>Reza Jafari</v>
      </c>
      <c r="D48" t="s">
        <v>17</v>
      </c>
      <c r="E48" t="s">
        <v>18</v>
      </c>
      <c r="F48" t="s">
        <v>10</v>
      </c>
      <c r="G48" s="4">
        <v>17904.7</v>
      </c>
      <c r="H48" t="s">
        <v>43</v>
      </c>
      <c r="I48">
        <v>15000</v>
      </c>
      <c r="J48" s="4">
        <f t="shared" si="0"/>
        <v>1790.4700000000003</v>
      </c>
    </row>
    <row r="49" spans="1:10" x14ac:dyDescent="0.25">
      <c r="A49" s="1">
        <v>44348</v>
      </c>
      <c r="B49" t="s">
        <v>16</v>
      </c>
      <c r="C49" t="str">
        <f t="shared" si="1"/>
        <v>Reza Jafari</v>
      </c>
      <c r="D49" t="s">
        <v>17</v>
      </c>
      <c r="E49" t="s">
        <v>18</v>
      </c>
      <c r="F49" t="s">
        <v>10</v>
      </c>
      <c r="G49" s="4">
        <v>18878.399999999998</v>
      </c>
      <c r="H49" t="s">
        <v>15</v>
      </c>
      <c r="I49">
        <v>15000</v>
      </c>
      <c r="J49" s="4">
        <f t="shared" si="0"/>
        <v>1887.84</v>
      </c>
    </row>
    <row r="50" spans="1:10" x14ac:dyDescent="0.25">
      <c r="A50" s="1">
        <v>44348</v>
      </c>
      <c r="B50" t="s">
        <v>16</v>
      </c>
      <c r="C50" t="str">
        <f t="shared" si="1"/>
        <v>Reza Jafari</v>
      </c>
      <c r="D50" t="s">
        <v>17</v>
      </c>
      <c r="E50" t="s">
        <v>18</v>
      </c>
      <c r="F50" t="s">
        <v>10</v>
      </c>
      <c r="G50" s="4">
        <v>23445</v>
      </c>
      <c r="H50" t="s">
        <v>15</v>
      </c>
      <c r="I50">
        <v>15000</v>
      </c>
      <c r="J50" s="4">
        <f t="shared" si="0"/>
        <v>2344.5</v>
      </c>
    </row>
    <row r="51" spans="1:10" x14ac:dyDescent="0.25">
      <c r="A51" s="1">
        <v>44348</v>
      </c>
      <c r="B51" t="s">
        <v>16</v>
      </c>
      <c r="C51" t="str">
        <f t="shared" si="1"/>
        <v>Reza Jafari</v>
      </c>
      <c r="D51" t="s">
        <v>17</v>
      </c>
      <c r="E51" t="s">
        <v>18</v>
      </c>
      <c r="F51" t="s">
        <v>10</v>
      </c>
      <c r="G51" s="4">
        <v>34162</v>
      </c>
      <c r="H51" t="s">
        <v>15</v>
      </c>
      <c r="I51">
        <v>15000</v>
      </c>
      <c r="J51" s="4">
        <f t="shared" si="0"/>
        <v>3416.2000000000003</v>
      </c>
    </row>
    <row r="52" spans="1:10" x14ac:dyDescent="0.25">
      <c r="A52" s="1">
        <v>44378</v>
      </c>
      <c r="B52" t="s">
        <v>16</v>
      </c>
      <c r="C52" t="str">
        <f t="shared" si="1"/>
        <v>Reza Jafari</v>
      </c>
      <c r="D52" t="s">
        <v>17</v>
      </c>
      <c r="E52" t="s">
        <v>18</v>
      </c>
      <c r="F52" t="s">
        <v>10</v>
      </c>
      <c r="G52" s="4">
        <v>3055.2</v>
      </c>
      <c r="H52" t="s">
        <v>11</v>
      </c>
      <c r="I52">
        <v>15000</v>
      </c>
      <c r="J52" s="4">
        <f t="shared" si="0"/>
        <v>0</v>
      </c>
    </row>
    <row r="53" spans="1:10" x14ac:dyDescent="0.25">
      <c r="A53" s="1">
        <v>44378</v>
      </c>
      <c r="B53" t="s">
        <v>7</v>
      </c>
      <c r="C53" t="str">
        <f t="shared" si="1"/>
        <v>Ashley Almanza</v>
      </c>
      <c r="D53" t="s">
        <v>8</v>
      </c>
      <c r="E53" t="s">
        <v>9</v>
      </c>
      <c r="F53" t="s">
        <v>10</v>
      </c>
      <c r="G53" s="4">
        <v>4843.4000000000005</v>
      </c>
      <c r="H53" t="s">
        <v>43</v>
      </c>
      <c r="I53">
        <v>15000</v>
      </c>
      <c r="J53" s="4">
        <f t="shared" si="0"/>
        <v>0</v>
      </c>
    </row>
    <row r="54" spans="1:10" x14ac:dyDescent="0.25">
      <c r="A54" s="1">
        <v>44378</v>
      </c>
      <c r="B54" t="s">
        <v>12</v>
      </c>
      <c r="C54" t="str">
        <f t="shared" si="1"/>
        <v>Derek Godwin</v>
      </c>
      <c r="D54" t="s">
        <v>13</v>
      </c>
      <c r="E54" t="s">
        <v>14</v>
      </c>
      <c r="F54" t="s">
        <v>10</v>
      </c>
      <c r="G54" s="4">
        <v>5215.2</v>
      </c>
      <c r="H54" t="s">
        <v>43</v>
      </c>
      <c r="I54">
        <v>15000</v>
      </c>
      <c r="J54" s="4">
        <f t="shared" si="0"/>
        <v>0</v>
      </c>
    </row>
    <row r="55" spans="1:10" x14ac:dyDescent="0.25">
      <c r="A55" s="1">
        <v>44378</v>
      </c>
      <c r="B55" t="s">
        <v>16</v>
      </c>
      <c r="C55" t="str">
        <f t="shared" si="1"/>
        <v>Reza Jafari</v>
      </c>
      <c r="D55" t="s">
        <v>17</v>
      </c>
      <c r="E55" t="s">
        <v>18</v>
      </c>
      <c r="F55" t="s">
        <v>10</v>
      </c>
      <c r="G55" s="4">
        <v>7199.7000000000007</v>
      </c>
      <c r="H55" t="s">
        <v>43</v>
      </c>
      <c r="I55">
        <v>15000</v>
      </c>
      <c r="J55" s="4">
        <f t="shared" si="0"/>
        <v>0</v>
      </c>
    </row>
    <row r="56" spans="1:10" x14ac:dyDescent="0.25">
      <c r="A56" s="1">
        <v>44378</v>
      </c>
      <c r="B56" t="s">
        <v>68</v>
      </c>
      <c r="C56" t="str">
        <f t="shared" si="1"/>
        <v>Bryan Maldonado</v>
      </c>
      <c r="D56" t="s">
        <v>69</v>
      </c>
      <c r="E56" t="s">
        <v>70</v>
      </c>
      <c r="F56" t="s">
        <v>10</v>
      </c>
      <c r="G56" s="4">
        <v>14670</v>
      </c>
      <c r="H56" t="s">
        <v>11</v>
      </c>
      <c r="I56">
        <v>15000</v>
      </c>
      <c r="J56" s="4">
        <f t="shared" si="0"/>
        <v>0</v>
      </c>
    </row>
    <row r="57" spans="1:10" x14ac:dyDescent="0.25">
      <c r="A57" s="1">
        <v>44378</v>
      </c>
      <c r="B57" t="s">
        <v>7</v>
      </c>
      <c r="C57" t="str">
        <f t="shared" si="1"/>
        <v>Ashley Almanza</v>
      </c>
      <c r="D57" t="s">
        <v>8</v>
      </c>
      <c r="E57" t="s">
        <v>9</v>
      </c>
      <c r="F57" t="s">
        <v>10</v>
      </c>
      <c r="G57" s="4">
        <v>16614.400000000001</v>
      </c>
      <c r="H57" t="s">
        <v>11</v>
      </c>
      <c r="I57">
        <v>15000</v>
      </c>
      <c r="J57" s="4">
        <f t="shared" si="0"/>
        <v>1661.4400000000003</v>
      </c>
    </row>
    <row r="58" spans="1:10" x14ac:dyDescent="0.25">
      <c r="A58" s="1">
        <v>44378</v>
      </c>
      <c r="B58" t="s">
        <v>68</v>
      </c>
      <c r="C58" t="str">
        <f t="shared" si="1"/>
        <v>Bryan Maldonado</v>
      </c>
      <c r="D58" t="s">
        <v>69</v>
      </c>
      <c r="E58" t="s">
        <v>70</v>
      </c>
      <c r="F58" t="s">
        <v>10</v>
      </c>
      <c r="G58" s="4">
        <v>20076.7</v>
      </c>
      <c r="H58" t="s">
        <v>43</v>
      </c>
      <c r="I58">
        <v>15000</v>
      </c>
      <c r="J58" s="4">
        <f t="shared" si="0"/>
        <v>2007.67</v>
      </c>
    </row>
    <row r="59" spans="1:10" x14ac:dyDescent="0.25">
      <c r="A59" s="1">
        <v>44378</v>
      </c>
      <c r="B59" t="s">
        <v>16</v>
      </c>
      <c r="C59" t="str">
        <f t="shared" si="1"/>
        <v>Reza Jafari</v>
      </c>
      <c r="D59" t="s">
        <v>17</v>
      </c>
      <c r="E59" t="s">
        <v>18</v>
      </c>
      <c r="F59" t="s">
        <v>10</v>
      </c>
      <c r="G59" s="4">
        <v>21482.999999999996</v>
      </c>
      <c r="H59" t="s">
        <v>43</v>
      </c>
      <c r="I59">
        <v>15000</v>
      </c>
      <c r="J59" s="4">
        <f t="shared" si="0"/>
        <v>2148.2999999999997</v>
      </c>
    </row>
    <row r="60" spans="1:10" x14ac:dyDescent="0.25">
      <c r="A60" s="1">
        <v>44378</v>
      </c>
      <c r="B60" t="s">
        <v>27</v>
      </c>
      <c r="C60" t="str">
        <f t="shared" si="1"/>
        <v>Gordon Beswick</v>
      </c>
      <c r="D60" t="s">
        <v>28</v>
      </c>
      <c r="E60" t="s">
        <v>29</v>
      </c>
      <c r="F60" t="s">
        <v>10</v>
      </c>
      <c r="G60" s="4">
        <v>30776.799999999999</v>
      </c>
      <c r="H60" t="s">
        <v>11</v>
      </c>
      <c r="I60">
        <v>15000</v>
      </c>
      <c r="J60" s="4">
        <f t="shared" si="0"/>
        <v>3077.6800000000003</v>
      </c>
    </row>
    <row r="61" spans="1:10" x14ac:dyDescent="0.25">
      <c r="A61" s="1">
        <v>44409</v>
      </c>
      <c r="B61" t="s">
        <v>68</v>
      </c>
      <c r="C61" t="str">
        <f t="shared" si="1"/>
        <v>Bryan Maldonado</v>
      </c>
      <c r="D61" t="s">
        <v>69</v>
      </c>
      <c r="E61" t="s">
        <v>70</v>
      </c>
      <c r="F61" t="s">
        <v>10</v>
      </c>
      <c r="G61" s="4">
        <v>8625</v>
      </c>
      <c r="H61" t="s">
        <v>15</v>
      </c>
      <c r="I61">
        <v>15000</v>
      </c>
      <c r="J61" s="4">
        <f t="shared" si="0"/>
        <v>0</v>
      </c>
    </row>
    <row r="62" spans="1:10" x14ac:dyDescent="0.25">
      <c r="A62" s="1">
        <v>44409</v>
      </c>
      <c r="B62" t="s">
        <v>16</v>
      </c>
      <c r="C62" t="str">
        <f t="shared" si="1"/>
        <v>Reza Jafari</v>
      </c>
      <c r="D62" t="s">
        <v>17</v>
      </c>
      <c r="E62" t="s">
        <v>18</v>
      </c>
      <c r="F62" t="s">
        <v>10</v>
      </c>
      <c r="G62" s="4">
        <v>9794</v>
      </c>
      <c r="H62" t="s">
        <v>15</v>
      </c>
      <c r="I62">
        <v>15000</v>
      </c>
      <c r="J62" s="4">
        <f t="shared" si="0"/>
        <v>0</v>
      </c>
    </row>
    <row r="63" spans="1:10" x14ac:dyDescent="0.25">
      <c r="A63" s="1">
        <v>44409</v>
      </c>
      <c r="B63" t="s">
        <v>68</v>
      </c>
      <c r="C63" t="str">
        <f t="shared" si="1"/>
        <v>Bryan Maldonado</v>
      </c>
      <c r="D63" t="s">
        <v>69</v>
      </c>
      <c r="E63" t="s">
        <v>70</v>
      </c>
      <c r="F63" t="s">
        <v>10</v>
      </c>
      <c r="G63" s="4">
        <v>16321.6</v>
      </c>
      <c r="H63" t="s">
        <v>11</v>
      </c>
      <c r="I63">
        <v>15000</v>
      </c>
      <c r="J63" s="4">
        <f t="shared" si="0"/>
        <v>1632.16</v>
      </c>
    </row>
    <row r="64" spans="1:10" x14ac:dyDescent="0.25">
      <c r="A64" s="1">
        <v>44409</v>
      </c>
      <c r="B64" t="s">
        <v>16</v>
      </c>
      <c r="C64" t="str">
        <f t="shared" si="1"/>
        <v>Reza Jafari</v>
      </c>
      <c r="D64" t="s">
        <v>17</v>
      </c>
      <c r="E64" t="s">
        <v>18</v>
      </c>
      <c r="F64" t="s">
        <v>10</v>
      </c>
      <c r="G64" s="4">
        <v>19678.8</v>
      </c>
      <c r="H64" t="s">
        <v>15</v>
      </c>
      <c r="I64">
        <v>15000</v>
      </c>
      <c r="J64" s="4">
        <f t="shared" si="0"/>
        <v>1967.88</v>
      </c>
    </row>
    <row r="65" spans="1:10" x14ac:dyDescent="0.25">
      <c r="A65" s="1">
        <v>44409</v>
      </c>
      <c r="B65" t="s">
        <v>68</v>
      </c>
      <c r="C65" t="str">
        <f t="shared" si="1"/>
        <v>Bryan Maldonado</v>
      </c>
      <c r="D65" t="s">
        <v>69</v>
      </c>
      <c r="E65" t="s">
        <v>70</v>
      </c>
      <c r="F65" t="s">
        <v>10</v>
      </c>
      <c r="G65" s="4">
        <v>33694.800000000003</v>
      </c>
      <c r="H65" t="s">
        <v>15</v>
      </c>
      <c r="I65">
        <v>15000</v>
      </c>
      <c r="J65" s="4">
        <f t="shared" si="0"/>
        <v>3369.4800000000005</v>
      </c>
    </row>
    <row r="66" spans="1:10" x14ac:dyDescent="0.25">
      <c r="A66" s="1">
        <v>44409</v>
      </c>
      <c r="B66" t="s">
        <v>12</v>
      </c>
      <c r="C66" t="str">
        <f t="shared" si="1"/>
        <v>Derek Godwin</v>
      </c>
      <c r="D66" t="s">
        <v>13</v>
      </c>
      <c r="E66" t="s">
        <v>14</v>
      </c>
      <c r="F66" t="s">
        <v>10</v>
      </c>
      <c r="G66" s="4">
        <v>39236</v>
      </c>
      <c r="H66" t="s">
        <v>43</v>
      </c>
      <c r="I66">
        <v>15000</v>
      </c>
      <c r="J66" s="4">
        <f t="shared" si="0"/>
        <v>3923.6000000000004</v>
      </c>
    </row>
    <row r="67" spans="1:10" x14ac:dyDescent="0.25">
      <c r="A67" s="1">
        <v>44409</v>
      </c>
      <c r="B67" t="s">
        <v>16</v>
      </c>
      <c r="C67" t="str">
        <f t="shared" ref="C67:C130" si="2">TRIM(B67)</f>
        <v>Reza Jafari</v>
      </c>
      <c r="D67" t="s">
        <v>17</v>
      </c>
      <c r="E67" t="s">
        <v>18</v>
      </c>
      <c r="F67" t="s">
        <v>10</v>
      </c>
      <c r="G67" s="4">
        <v>43088.2</v>
      </c>
      <c r="H67" t="s">
        <v>11</v>
      </c>
      <c r="I67">
        <v>15000</v>
      </c>
      <c r="J67" s="4">
        <f t="shared" ref="J67:J130" si="3">IF(G67&gt;=I67,G67*$L$2,0)</f>
        <v>4308.82</v>
      </c>
    </row>
    <row r="68" spans="1:10" x14ac:dyDescent="0.25">
      <c r="A68" s="1">
        <v>44440</v>
      </c>
      <c r="B68" t="s">
        <v>7</v>
      </c>
      <c r="C68" t="str">
        <f t="shared" si="2"/>
        <v>Ashley Almanza</v>
      </c>
      <c r="D68" t="s">
        <v>8</v>
      </c>
      <c r="E68" t="s">
        <v>9</v>
      </c>
      <c r="F68" t="s">
        <v>10</v>
      </c>
      <c r="G68" s="4">
        <v>5572.3</v>
      </c>
      <c r="H68" t="s">
        <v>11</v>
      </c>
      <c r="I68">
        <v>15000</v>
      </c>
      <c r="J68" s="4">
        <f t="shared" si="3"/>
        <v>0</v>
      </c>
    </row>
    <row r="69" spans="1:10" x14ac:dyDescent="0.25">
      <c r="A69" s="1">
        <v>44440</v>
      </c>
      <c r="B69" t="s">
        <v>16</v>
      </c>
      <c r="C69" t="str">
        <f t="shared" si="2"/>
        <v>Reza Jafari</v>
      </c>
      <c r="D69" t="s">
        <v>17</v>
      </c>
      <c r="E69" t="s">
        <v>18</v>
      </c>
      <c r="F69" t="s">
        <v>10</v>
      </c>
      <c r="G69" s="4">
        <v>7496.9999999999991</v>
      </c>
      <c r="H69" t="s">
        <v>15</v>
      </c>
      <c r="I69">
        <v>15000</v>
      </c>
      <c r="J69" s="4">
        <f t="shared" si="3"/>
        <v>0</v>
      </c>
    </row>
    <row r="70" spans="1:10" x14ac:dyDescent="0.25">
      <c r="A70" s="1">
        <v>44440</v>
      </c>
      <c r="B70" t="s">
        <v>12</v>
      </c>
      <c r="C70" t="str">
        <f t="shared" si="2"/>
        <v>Derek Godwin</v>
      </c>
      <c r="D70" t="s">
        <v>13</v>
      </c>
      <c r="E70" t="s">
        <v>14</v>
      </c>
      <c r="F70" t="s">
        <v>10</v>
      </c>
      <c r="G70" s="4">
        <v>9651.1999999999989</v>
      </c>
      <c r="H70" t="s">
        <v>11</v>
      </c>
      <c r="I70">
        <v>15000</v>
      </c>
      <c r="J70" s="4">
        <f t="shared" si="3"/>
        <v>0</v>
      </c>
    </row>
    <row r="71" spans="1:10" x14ac:dyDescent="0.25">
      <c r="A71" s="1">
        <v>44440</v>
      </c>
      <c r="B71" t="s">
        <v>7</v>
      </c>
      <c r="C71" t="str">
        <f t="shared" si="2"/>
        <v>Ashley Almanza</v>
      </c>
      <c r="D71" t="s">
        <v>8</v>
      </c>
      <c r="E71" t="s">
        <v>9</v>
      </c>
      <c r="F71" t="s">
        <v>10</v>
      </c>
      <c r="G71" s="4">
        <v>10492.199999999997</v>
      </c>
      <c r="H71" t="s">
        <v>43</v>
      </c>
      <c r="I71">
        <v>15000</v>
      </c>
      <c r="J71" s="4">
        <f t="shared" si="3"/>
        <v>0</v>
      </c>
    </row>
    <row r="72" spans="1:10" x14ac:dyDescent="0.25">
      <c r="A72" s="1">
        <v>44440</v>
      </c>
      <c r="B72" t="s">
        <v>7</v>
      </c>
      <c r="C72" t="str">
        <f t="shared" si="2"/>
        <v>Ashley Almanza</v>
      </c>
      <c r="D72" t="s">
        <v>8</v>
      </c>
      <c r="E72" t="s">
        <v>9</v>
      </c>
      <c r="F72" t="s">
        <v>10</v>
      </c>
      <c r="G72" s="4">
        <v>18396.7</v>
      </c>
      <c r="H72" t="s">
        <v>11</v>
      </c>
      <c r="I72">
        <v>15000</v>
      </c>
      <c r="J72" s="4">
        <f t="shared" si="3"/>
        <v>1839.67</v>
      </c>
    </row>
    <row r="73" spans="1:10" x14ac:dyDescent="0.25">
      <c r="A73" s="1">
        <v>44440</v>
      </c>
      <c r="B73" t="s">
        <v>12</v>
      </c>
      <c r="C73" t="str">
        <f t="shared" si="2"/>
        <v>Derek Godwin</v>
      </c>
      <c r="D73" t="s">
        <v>13</v>
      </c>
      <c r="E73" t="s">
        <v>14</v>
      </c>
      <c r="F73" t="s">
        <v>10</v>
      </c>
      <c r="G73" s="4">
        <v>23849.599999999999</v>
      </c>
      <c r="H73" t="s">
        <v>11</v>
      </c>
      <c r="I73">
        <v>15000</v>
      </c>
      <c r="J73" s="4">
        <f t="shared" si="3"/>
        <v>2384.96</v>
      </c>
    </row>
    <row r="74" spans="1:10" x14ac:dyDescent="0.25">
      <c r="A74" s="1">
        <v>44440</v>
      </c>
      <c r="B74" t="s">
        <v>68</v>
      </c>
      <c r="C74" t="str">
        <f t="shared" si="2"/>
        <v>Bryan Maldonado</v>
      </c>
      <c r="D74" t="s">
        <v>69</v>
      </c>
      <c r="E74" t="s">
        <v>70</v>
      </c>
      <c r="F74" t="s">
        <v>10</v>
      </c>
      <c r="G74" s="4">
        <v>23882.399999999998</v>
      </c>
      <c r="H74" t="s">
        <v>43</v>
      </c>
      <c r="I74">
        <v>15000</v>
      </c>
      <c r="J74" s="4">
        <f t="shared" si="3"/>
        <v>2388.2399999999998</v>
      </c>
    </row>
    <row r="75" spans="1:10" x14ac:dyDescent="0.25">
      <c r="A75" s="1">
        <v>44440</v>
      </c>
      <c r="B75" t="s">
        <v>12</v>
      </c>
      <c r="C75" t="str">
        <f t="shared" si="2"/>
        <v>Derek Godwin</v>
      </c>
      <c r="D75" t="s">
        <v>13</v>
      </c>
      <c r="E75" t="s">
        <v>14</v>
      </c>
      <c r="F75" t="s">
        <v>10</v>
      </c>
      <c r="G75" s="4">
        <v>34041.300000000003</v>
      </c>
      <c r="H75" t="s">
        <v>43</v>
      </c>
      <c r="I75">
        <v>15000</v>
      </c>
      <c r="J75" s="4">
        <f t="shared" si="3"/>
        <v>3404.1300000000006</v>
      </c>
    </row>
    <row r="76" spans="1:10" x14ac:dyDescent="0.25">
      <c r="A76" s="1">
        <v>44470</v>
      </c>
      <c r="B76" t="s">
        <v>27</v>
      </c>
      <c r="C76" t="str">
        <f t="shared" si="2"/>
        <v>Gordon Beswick</v>
      </c>
      <c r="D76" t="s">
        <v>28</v>
      </c>
      <c r="E76" t="s">
        <v>29</v>
      </c>
      <c r="F76" t="s">
        <v>10</v>
      </c>
      <c r="G76" s="4">
        <v>3243.6000000000004</v>
      </c>
      <c r="H76" t="s">
        <v>11</v>
      </c>
      <c r="I76">
        <v>15000</v>
      </c>
      <c r="J76" s="4">
        <f t="shared" si="3"/>
        <v>0</v>
      </c>
    </row>
    <row r="77" spans="1:10" x14ac:dyDescent="0.25">
      <c r="A77" s="1">
        <v>44470</v>
      </c>
      <c r="B77" t="s">
        <v>16</v>
      </c>
      <c r="C77" t="str">
        <f t="shared" si="2"/>
        <v>Reza Jafari</v>
      </c>
      <c r="D77" t="s">
        <v>17</v>
      </c>
      <c r="E77" t="s">
        <v>18</v>
      </c>
      <c r="F77" t="s">
        <v>10</v>
      </c>
      <c r="G77" s="4">
        <v>12633.599999999999</v>
      </c>
      <c r="H77" t="s">
        <v>15</v>
      </c>
      <c r="I77">
        <v>15000</v>
      </c>
      <c r="J77" s="4">
        <f t="shared" si="3"/>
        <v>0</v>
      </c>
    </row>
    <row r="78" spans="1:10" x14ac:dyDescent="0.25">
      <c r="A78" s="1">
        <v>44470</v>
      </c>
      <c r="B78" t="s">
        <v>27</v>
      </c>
      <c r="C78" t="str">
        <f t="shared" si="2"/>
        <v>Gordon Beswick</v>
      </c>
      <c r="D78" t="s">
        <v>28</v>
      </c>
      <c r="E78" t="s">
        <v>29</v>
      </c>
      <c r="F78" t="s">
        <v>10</v>
      </c>
      <c r="G78" s="4">
        <v>12806.399999999998</v>
      </c>
      <c r="H78" t="s">
        <v>43</v>
      </c>
      <c r="I78">
        <v>15000</v>
      </c>
      <c r="J78" s="4">
        <f t="shared" si="3"/>
        <v>0</v>
      </c>
    </row>
    <row r="79" spans="1:10" x14ac:dyDescent="0.25">
      <c r="A79" s="1">
        <v>44470</v>
      </c>
      <c r="B79" t="s">
        <v>12</v>
      </c>
      <c r="C79" t="str">
        <f t="shared" si="2"/>
        <v>Derek Godwin</v>
      </c>
      <c r="D79" t="s">
        <v>13</v>
      </c>
      <c r="E79" t="s">
        <v>14</v>
      </c>
      <c r="F79" t="s">
        <v>10</v>
      </c>
      <c r="G79" s="4">
        <v>20031.199999999997</v>
      </c>
      <c r="H79" t="s">
        <v>43</v>
      </c>
      <c r="I79">
        <v>15000</v>
      </c>
      <c r="J79" s="4">
        <f t="shared" si="3"/>
        <v>2003.12</v>
      </c>
    </row>
    <row r="80" spans="1:10" x14ac:dyDescent="0.25">
      <c r="A80" s="1">
        <v>44470</v>
      </c>
      <c r="B80" t="s">
        <v>7</v>
      </c>
      <c r="C80" t="str">
        <f t="shared" si="2"/>
        <v>Ashley Almanza</v>
      </c>
      <c r="D80" t="s">
        <v>8</v>
      </c>
      <c r="E80" t="s">
        <v>9</v>
      </c>
      <c r="F80" t="s">
        <v>10</v>
      </c>
      <c r="G80" s="4">
        <v>21485.200000000001</v>
      </c>
      <c r="H80" t="s">
        <v>15</v>
      </c>
      <c r="I80">
        <v>15000</v>
      </c>
      <c r="J80" s="4">
        <f t="shared" si="3"/>
        <v>2148.52</v>
      </c>
    </row>
    <row r="81" spans="1:10" x14ac:dyDescent="0.25">
      <c r="A81" s="1">
        <v>44470</v>
      </c>
      <c r="B81" t="s">
        <v>68</v>
      </c>
      <c r="C81" t="str">
        <f t="shared" si="2"/>
        <v>Bryan Maldonado</v>
      </c>
      <c r="D81" t="s">
        <v>69</v>
      </c>
      <c r="E81" t="s">
        <v>70</v>
      </c>
      <c r="F81" t="s">
        <v>10</v>
      </c>
      <c r="G81" s="4">
        <v>22607.200000000004</v>
      </c>
      <c r="H81" t="s">
        <v>11</v>
      </c>
      <c r="I81">
        <v>15000</v>
      </c>
      <c r="J81" s="4">
        <f t="shared" si="3"/>
        <v>2260.7200000000007</v>
      </c>
    </row>
    <row r="82" spans="1:10" x14ac:dyDescent="0.25">
      <c r="A82" s="1">
        <v>44501</v>
      </c>
      <c r="B82" t="s">
        <v>12</v>
      </c>
      <c r="C82" t="str">
        <f t="shared" si="2"/>
        <v>Derek Godwin</v>
      </c>
      <c r="D82" t="s">
        <v>13</v>
      </c>
      <c r="E82" t="s">
        <v>14</v>
      </c>
      <c r="F82" t="s">
        <v>10</v>
      </c>
      <c r="G82" s="4">
        <v>5130</v>
      </c>
      <c r="H82" t="s">
        <v>15</v>
      </c>
      <c r="I82">
        <v>15000</v>
      </c>
      <c r="J82" s="4">
        <f t="shared" si="3"/>
        <v>0</v>
      </c>
    </row>
    <row r="83" spans="1:10" x14ac:dyDescent="0.25">
      <c r="A83" s="1">
        <v>44501</v>
      </c>
      <c r="B83" t="s">
        <v>7</v>
      </c>
      <c r="C83" t="str">
        <f t="shared" si="2"/>
        <v>Ashley Almanza</v>
      </c>
      <c r="D83" t="s">
        <v>8</v>
      </c>
      <c r="E83" t="s">
        <v>9</v>
      </c>
      <c r="F83" t="s">
        <v>10</v>
      </c>
      <c r="G83" s="4">
        <v>8810.9</v>
      </c>
      <c r="H83" t="s">
        <v>11</v>
      </c>
      <c r="I83">
        <v>15000</v>
      </c>
      <c r="J83" s="4">
        <f t="shared" si="3"/>
        <v>0</v>
      </c>
    </row>
    <row r="84" spans="1:10" x14ac:dyDescent="0.25">
      <c r="A84" s="1">
        <v>44501</v>
      </c>
      <c r="B84" t="s">
        <v>27</v>
      </c>
      <c r="C84" t="str">
        <f t="shared" si="2"/>
        <v>Gordon Beswick</v>
      </c>
      <c r="D84" t="s">
        <v>28</v>
      </c>
      <c r="E84" t="s">
        <v>29</v>
      </c>
      <c r="F84" t="s">
        <v>10</v>
      </c>
      <c r="G84" s="4">
        <v>16606</v>
      </c>
      <c r="H84" t="s">
        <v>11</v>
      </c>
      <c r="I84">
        <v>15000</v>
      </c>
      <c r="J84" s="4">
        <f t="shared" si="3"/>
        <v>1660.6000000000001</v>
      </c>
    </row>
    <row r="85" spans="1:10" x14ac:dyDescent="0.25">
      <c r="A85" s="1">
        <v>44501</v>
      </c>
      <c r="B85" t="s">
        <v>12</v>
      </c>
      <c r="C85" t="str">
        <f t="shared" si="2"/>
        <v>Derek Godwin</v>
      </c>
      <c r="D85" t="s">
        <v>13</v>
      </c>
      <c r="E85" t="s">
        <v>14</v>
      </c>
      <c r="F85" t="s">
        <v>10</v>
      </c>
      <c r="G85" s="4">
        <v>17766</v>
      </c>
      <c r="H85" t="s">
        <v>11</v>
      </c>
      <c r="I85">
        <v>15000</v>
      </c>
      <c r="J85" s="4">
        <f t="shared" si="3"/>
        <v>1776.6000000000001</v>
      </c>
    </row>
    <row r="86" spans="1:10" x14ac:dyDescent="0.25">
      <c r="A86" s="1">
        <v>44501</v>
      </c>
      <c r="B86" t="s">
        <v>16</v>
      </c>
      <c r="C86" t="str">
        <f t="shared" si="2"/>
        <v>Reza Jafari</v>
      </c>
      <c r="D86" t="s">
        <v>17</v>
      </c>
      <c r="E86" t="s">
        <v>18</v>
      </c>
      <c r="F86" t="s">
        <v>10</v>
      </c>
      <c r="G86" s="4">
        <v>20916</v>
      </c>
      <c r="H86" t="s">
        <v>11</v>
      </c>
      <c r="I86">
        <v>15000</v>
      </c>
      <c r="J86" s="4">
        <f t="shared" si="3"/>
        <v>2091.6</v>
      </c>
    </row>
    <row r="87" spans="1:10" x14ac:dyDescent="0.25">
      <c r="A87" s="1">
        <v>44501</v>
      </c>
      <c r="B87" t="s">
        <v>16</v>
      </c>
      <c r="C87" t="str">
        <f t="shared" si="2"/>
        <v>Reza Jafari</v>
      </c>
      <c r="D87" t="s">
        <v>17</v>
      </c>
      <c r="E87" t="s">
        <v>18</v>
      </c>
      <c r="F87" t="s">
        <v>10</v>
      </c>
      <c r="G87" s="4">
        <v>22396.5</v>
      </c>
      <c r="H87" t="s">
        <v>43</v>
      </c>
      <c r="I87">
        <v>15000</v>
      </c>
      <c r="J87" s="4">
        <f t="shared" si="3"/>
        <v>2239.65</v>
      </c>
    </row>
    <row r="88" spans="1:10" x14ac:dyDescent="0.25">
      <c r="A88" s="1">
        <v>44501</v>
      </c>
      <c r="B88" t="s">
        <v>12</v>
      </c>
      <c r="C88" t="str">
        <f t="shared" si="2"/>
        <v>Derek Godwin</v>
      </c>
      <c r="D88" t="s">
        <v>13</v>
      </c>
      <c r="E88" t="s">
        <v>14</v>
      </c>
      <c r="F88" t="s">
        <v>10</v>
      </c>
      <c r="G88" s="4">
        <v>25633.5</v>
      </c>
      <c r="H88" t="s">
        <v>15</v>
      </c>
      <c r="I88">
        <v>15000</v>
      </c>
      <c r="J88" s="4">
        <f t="shared" si="3"/>
        <v>2563.3500000000004</v>
      </c>
    </row>
    <row r="89" spans="1:10" x14ac:dyDescent="0.25">
      <c r="A89" s="1">
        <v>44501</v>
      </c>
      <c r="B89" t="s">
        <v>16</v>
      </c>
      <c r="C89" t="str">
        <f t="shared" si="2"/>
        <v>Reza Jafari</v>
      </c>
      <c r="D89" t="s">
        <v>17</v>
      </c>
      <c r="E89" t="s">
        <v>18</v>
      </c>
      <c r="F89" t="s">
        <v>10</v>
      </c>
      <c r="G89" s="4">
        <v>37374.399999999994</v>
      </c>
      <c r="H89" t="s">
        <v>43</v>
      </c>
      <c r="I89">
        <v>15000</v>
      </c>
      <c r="J89" s="4">
        <f t="shared" si="3"/>
        <v>3737.4399999999996</v>
      </c>
    </row>
    <row r="90" spans="1:10" x14ac:dyDescent="0.25">
      <c r="A90" s="1">
        <v>44531</v>
      </c>
      <c r="B90" t="s">
        <v>12</v>
      </c>
      <c r="C90" t="str">
        <f t="shared" si="2"/>
        <v>Derek Godwin</v>
      </c>
      <c r="D90" t="s">
        <v>13</v>
      </c>
      <c r="E90" t="s">
        <v>14</v>
      </c>
      <c r="F90" t="s">
        <v>10</v>
      </c>
      <c r="G90" s="4">
        <v>3817.9999999999995</v>
      </c>
      <c r="H90" t="s">
        <v>11</v>
      </c>
      <c r="I90">
        <v>15000</v>
      </c>
      <c r="J90" s="4">
        <f t="shared" si="3"/>
        <v>0</v>
      </c>
    </row>
    <row r="91" spans="1:10" x14ac:dyDescent="0.25">
      <c r="A91" s="1">
        <v>44531</v>
      </c>
      <c r="B91" t="s">
        <v>16</v>
      </c>
      <c r="C91" t="str">
        <f t="shared" si="2"/>
        <v>Reza Jafari</v>
      </c>
      <c r="D91" t="s">
        <v>17</v>
      </c>
      <c r="E91" t="s">
        <v>18</v>
      </c>
      <c r="F91" t="s">
        <v>10</v>
      </c>
      <c r="G91" s="4">
        <v>8683.1999999999989</v>
      </c>
      <c r="H91" t="s">
        <v>15</v>
      </c>
      <c r="I91">
        <v>15000</v>
      </c>
      <c r="J91" s="4">
        <f t="shared" si="3"/>
        <v>0</v>
      </c>
    </row>
    <row r="92" spans="1:10" x14ac:dyDescent="0.25">
      <c r="A92" s="1">
        <v>44531</v>
      </c>
      <c r="B92" t="s">
        <v>7</v>
      </c>
      <c r="C92" t="str">
        <f t="shared" si="2"/>
        <v>Ashley Almanza</v>
      </c>
      <c r="D92" t="s">
        <v>8</v>
      </c>
      <c r="E92" t="s">
        <v>9</v>
      </c>
      <c r="F92" t="s">
        <v>10</v>
      </c>
      <c r="G92" s="4">
        <v>11210</v>
      </c>
      <c r="H92" t="s">
        <v>43</v>
      </c>
      <c r="I92">
        <v>15000</v>
      </c>
      <c r="J92" s="4">
        <f t="shared" si="3"/>
        <v>0</v>
      </c>
    </row>
    <row r="93" spans="1:10" x14ac:dyDescent="0.25">
      <c r="A93" s="1">
        <v>44531</v>
      </c>
      <c r="B93" t="s">
        <v>27</v>
      </c>
      <c r="C93" t="str">
        <f t="shared" si="2"/>
        <v>Gordon Beswick</v>
      </c>
      <c r="D93" t="s">
        <v>28</v>
      </c>
      <c r="E93" t="s">
        <v>29</v>
      </c>
      <c r="F93" t="s">
        <v>10</v>
      </c>
      <c r="G93" s="4">
        <v>12765.2</v>
      </c>
      <c r="H93" t="s">
        <v>43</v>
      </c>
      <c r="I93">
        <v>15000</v>
      </c>
      <c r="J93" s="4">
        <f t="shared" si="3"/>
        <v>0</v>
      </c>
    </row>
    <row r="94" spans="1:10" x14ac:dyDescent="0.25">
      <c r="A94" s="1">
        <v>44531</v>
      </c>
      <c r="B94" t="s">
        <v>12</v>
      </c>
      <c r="C94" t="str">
        <f t="shared" si="2"/>
        <v>Derek Godwin</v>
      </c>
      <c r="D94" t="s">
        <v>13</v>
      </c>
      <c r="E94" t="s">
        <v>14</v>
      </c>
      <c r="F94" t="s">
        <v>10</v>
      </c>
      <c r="G94" s="4">
        <v>15921.999999999998</v>
      </c>
      <c r="H94" t="s">
        <v>43</v>
      </c>
      <c r="I94">
        <v>15000</v>
      </c>
      <c r="J94" s="4">
        <f t="shared" si="3"/>
        <v>1592.1999999999998</v>
      </c>
    </row>
    <row r="95" spans="1:10" x14ac:dyDescent="0.25">
      <c r="A95" s="1">
        <v>44531</v>
      </c>
      <c r="B95" t="s">
        <v>27</v>
      </c>
      <c r="C95" t="str">
        <f t="shared" si="2"/>
        <v>Gordon Beswick</v>
      </c>
      <c r="D95" t="s">
        <v>28</v>
      </c>
      <c r="E95" t="s">
        <v>29</v>
      </c>
      <c r="F95" t="s">
        <v>10</v>
      </c>
      <c r="G95" s="4">
        <v>31970.799999999999</v>
      </c>
      <c r="H95" t="s">
        <v>11</v>
      </c>
      <c r="I95">
        <v>15000</v>
      </c>
      <c r="J95" s="4">
        <f t="shared" si="3"/>
        <v>3197.08</v>
      </c>
    </row>
    <row r="96" spans="1:10" x14ac:dyDescent="0.25">
      <c r="A96" s="1">
        <v>44531</v>
      </c>
      <c r="B96" t="s">
        <v>7</v>
      </c>
      <c r="C96" t="str">
        <f t="shared" si="2"/>
        <v>Ashley Almanza</v>
      </c>
      <c r="D96" t="s">
        <v>8</v>
      </c>
      <c r="E96" t="s">
        <v>9</v>
      </c>
      <c r="F96" t="s">
        <v>10</v>
      </c>
      <c r="G96" s="4">
        <v>41520</v>
      </c>
      <c r="H96" t="s">
        <v>11</v>
      </c>
      <c r="I96">
        <v>15000</v>
      </c>
      <c r="J96" s="4">
        <f t="shared" si="3"/>
        <v>4152</v>
      </c>
    </row>
    <row r="97" spans="1:10" x14ac:dyDescent="0.25">
      <c r="A97" s="1">
        <v>44531</v>
      </c>
      <c r="B97" t="s">
        <v>7</v>
      </c>
      <c r="C97" t="str">
        <f t="shared" si="2"/>
        <v>Ashley Almanza</v>
      </c>
      <c r="D97" t="s">
        <v>8</v>
      </c>
      <c r="E97" t="s">
        <v>9</v>
      </c>
      <c r="F97" t="s">
        <v>10</v>
      </c>
      <c r="G97" s="4">
        <v>45800.999999999993</v>
      </c>
      <c r="H97" t="s">
        <v>15</v>
      </c>
      <c r="I97">
        <v>15000</v>
      </c>
      <c r="J97" s="4">
        <f t="shared" si="3"/>
        <v>4580.0999999999995</v>
      </c>
    </row>
    <row r="98" spans="1:10" x14ac:dyDescent="0.25">
      <c r="A98" s="1">
        <v>44197</v>
      </c>
      <c r="B98" t="s">
        <v>30</v>
      </c>
      <c r="C98" t="str">
        <f t="shared" si="2"/>
        <v>Chloe Fusaro</v>
      </c>
      <c r="D98" t="s">
        <v>31</v>
      </c>
      <c r="E98" t="s">
        <v>32</v>
      </c>
      <c r="F98" t="s">
        <v>33</v>
      </c>
      <c r="G98" s="4">
        <v>13310.4</v>
      </c>
      <c r="H98" t="s">
        <v>11</v>
      </c>
      <c r="I98">
        <v>15000</v>
      </c>
      <c r="J98" s="4">
        <f t="shared" si="3"/>
        <v>0</v>
      </c>
    </row>
    <row r="99" spans="1:10" x14ac:dyDescent="0.25">
      <c r="A99" s="1">
        <v>44197</v>
      </c>
      <c r="B99" t="s">
        <v>59</v>
      </c>
      <c r="C99" t="str">
        <f t="shared" si="2"/>
        <v>David Wilkinson</v>
      </c>
      <c r="D99" t="s">
        <v>60</v>
      </c>
      <c r="E99" t="s">
        <v>61</v>
      </c>
      <c r="F99" t="s">
        <v>33</v>
      </c>
      <c r="G99" s="4">
        <v>20366.100000000002</v>
      </c>
      <c r="H99" t="s">
        <v>43</v>
      </c>
      <c r="I99">
        <v>15000</v>
      </c>
      <c r="J99" s="4">
        <f t="shared" si="3"/>
        <v>2036.6100000000004</v>
      </c>
    </row>
    <row r="100" spans="1:10" x14ac:dyDescent="0.25">
      <c r="A100" s="1">
        <v>44197</v>
      </c>
      <c r="B100" t="s">
        <v>59</v>
      </c>
      <c r="C100" t="str">
        <f t="shared" si="2"/>
        <v>David Wilkinson</v>
      </c>
      <c r="D100" t="s">
        <v>60</v>
      </c>
      <c r="E100" t="s">
        <v>61</v>
      </c>
      <c r="F100" t="s">
        <v>33</v>
      </c>
      <c r="G100" s="4">
        <v>20880</v>
      </c>
      <c r="H100" t="s">
        <v>11</v>
      </c>
      <c r="I100">
        <v>15000</v>
      </c>
      <c r="J100" s="4">
        <f t="shared" si="3"/>
        <v>2088</v>
      </c>
    </row>
    <row r="101" spans="1:10" x14ac:dyDescent="0.25">
      <c r="A101" s="1">
        <v>44197</v>
      </c>
      <c r="B101" t="s">
        <v>30</v>
      </c>
      <c r="C101" t="str">
        <f t="shared" si="2"/>
        <v>Chloe Fusaro</v>
      </c>
      <c r="D101" t="s">
        <v>31</v>
      </c>
      <c r="E101" t="s">
        <v>32</v>
      </c>
      <c r="F101" t="s">
        <v>33</v>
      </c>
      <c r="G101" s="4">
        <v>23076.199999999997</v>
      </c>
      <c r="H101" t="s">
        <v>11</v>
      </c>
      <c r="I101">
        <v>15000</v>
      </c>
      <c r="J101" s="4">
        <f t="shared" si="3"/>
        <v>2307.62</v>
      </c>
    </row>
    <row r="102" spans="1:10" x14ac:dyDescent="0.25">
      <c r="A102" s="1">
        <v>44197</v>
      </c>
      <c r="B102" t="s">
        <v>30</v>
      </c>
      <c r="C102" t="str">
        <f t="shared" si="2"/>
        <v>Chloe Fusaro</v>
      </c>
      <c r="D102" t="s">
        <v>31</v>
      </c>
      <c r="E102" t="s">
        <v>32</v>
      </c>
      <c r="F102" t="s">
        <v>33</v>
      </c>
      <c r="G102" s="4">
        <v>25560</v>
      </c>
      <c r="H102" t="s">
        <v>11</v>
      </c>
      <c r="I102">
        <v>15000</v>
      </c>
      <c r="J102" s="4">
        <f t="shared" si="3"/>
        <v>2556</v>
      </c>
    </row>
    <row r="103" spans="1:10" x14ac:dyDescent="0.25">
      <c r="A103" s="1">
        <v>44228</v>
      </c>
      <c r="B103" t="s">
        <v>59</v>
      </c>
      <c r="C103" t="str">
        <f t="shared" si="2"/>
        <v>David Wilkinson</v>
      </c>
      <c r="D103" t="s">
        <v>60</v>
      </c>
      <c r="E103" t="s">
        <v>61</v>
      </c>
      <c r="F103" t="s">
        <v>33</v>
      </c>
      <c r="G103" s="4">
        <v>13479.400000000001</v>
      </c>
      <c r="H103" t="s">
        <v>43</v>
      </c>
      <c r="I103">
        <v>15000</v>
      </c>
      <c r="J103" s="4">
        <f t="shared" si="3"/>
        <v>0</v>
      </c>
    </row>
    <row r="104" spans="1:10" x14ac:dyDescent="0.25">
      <c r="A104" s="1">
        <v>44228</v>
      </c>
      <c r="B104" t="s">
        <v>30</v>
      </c>
      <c r="C104" t="str">
        <f t="shared" si="2"/>
        <v>Chloe Fusaro</v>
      </c>
      <c r="D104" t="s">
        <v>31</v>
      </c>
      <c r="E104" t="s">
        <v>32</v>
      </c>
      <c r="F104" t="s">
        <v>33</v>
      </c>
      <c r="G104" s="4">
        <v>16604.400000000001</v>
      </c>
      <c r="H104" t="s">
        <v>15</v>
      </c>
      <c r="I104">
        <v>15000</v>
      </c>
      <c r="J104" s="4">
        <f t="shared" si="3"/>
        <v>1660.4400000000003</v>
      </c>
    </row>
    <row r="105" spans="1:10" x14ac:dyDescent="0.25">
      <c r="A105" s="1">
        <v>44228</v>
      </c>
      <c r="B105" t="s">
        <v>71</v>
      </c>
      <c r="C105" t="str">
        <f t="shared" si="2"/>
        <v>Sarah Gibbs</v>
      </c>
      <c r="D105" t="s">
        <v>72</v>
      </c>
      <c r="E105" t="s">
        <v>73</v>
      </c>
      <c r="F105" t="s">
        <v>33</v>
      </c>
      <c r="G105" s="4">
        <v>22176</v>
      </c>
      <c r="H105" t="s">
        <v>15</v>
      </c>
      <c r="I105">
        <v>15000</v>
      </c>
      <c r="J105" s="4">
        <f t="shared" si="3"/>
        <v>2217.6</v>
      </c>
    </row>
    <row r="106" spans="1:10" x14ac:dyDescent="0.25">
      <c r="A106" s="1">
        <v>44228</v>
      </c>
      <c r="B106" t="s">
        <v>59</v>
      </c>
      <c r="C106" t="str">
        <f t="shared" si="2"/>
        <v>David Wilkinson</v>
      </c>
      <c r="D106" t="s">
        <v>60</v>
      </c>
      <c r="E106" t="s">
        <v>61</v>
      </c>
      <c r="F106" t="s">
        <v>33</v>
      </c>
      <c r="G106" s="4">
        <v>24131.000000000004</v>
      </c>
      <c r="H106" t="s">
        <v>15</v>
      </c>
      <c r="I106">
        <v>15000</v>
      </c>
      <c r="J106" s="4">
        <f t="shared" si="3"/>
        <v>2413.1000000000004</v>
      </c>
    </row>
    <row r="107" spans="1:10" x14ac:dyDescent="0.25">
      <c r="A107" s="1">
        <v>44228</v>
      </c>
      <c r="B107" t="s">
        <v>30</v>
      </c>
      <c r="C107" t="str">
        <f t="shared" si="2"/>
        <v>Chloe Fusaro</v>
      </c>
      <c r="D107" t="s">
        <v>31</v>
      </c>
      <c r="E107" t="s">
        <v>32</v>
      </c>
      <c r="F107" t="s">
        <v>33</v>
      </c>
      <c r="G107" s="4">
        <v>34353.5</v>
      </c>
      <c r="H107" t="s">
        <v>15</v>
      </c>
      <c r="I107">
        <v>15000</v>
      </c>
      <c r="J107" s="4">
        <f t="shared" si="3"/>
        <v>3435.3500000000004</v>
      </c>
    </row>
    <row r="108" spans="1:10" x14ac:dyDescent="0.25">
      <c r="A108" s="1">
        <v>44256</v>
      </c>
      <c r="B108" t="s">
        <v>62</v>
      </c>
      <c r="C108" t="str">
        <f t="shared" si="2"/>
        <v>Charlotte Edwards</v>
      </c>
      <c r="D108" t="s">
        <v>63</v>
      </c>
      <c r="E108" t="s">
        <v>64</v>
      </c>
      <c r="F108" t="s">
        <v>33</v>
      </c>
      <c r="G108" s="4">
        <v>7416.9</v>
      </c>
      <c r="H108" t="s">
        <v>43</v>
      </c>
      <c r="I108">
        <v>15000</v>
      </c>
      <c r="J108" s="4">
        <f t="shared" si="3"/>
        <v>0</v>
      </c>
    </row>
    <row r="109" spans="1:10" x14ac:dyDescent="0.25">
      <c r="A109" s="1">
        <v>44256</v>
      </c>
      <c r="B109" t="s">
        <v>40</v>
      </c>
      <c r="C109" t="str">
        <f t="shared" si="2"/>
        <v>Jonah Seitz</v>
      </c>
      <c r="D109" t="s">
        <v>41</v>
      </c>
      <c r="E109" t="s">
        <v>42</v>
      </c>
      <c r="F109" t="s">
        <v>33</v>
      </c>
      <c r="G109" s="4">
        <v>8284.5</v>
      </c>
      <c r="H109" t="s">
        <v>15</v>
      </c>
      <c r="I109">
        <v>15000</v>
      </c>
      <c r="J109" s="4">
        <f t="shared" si="3"/>
        <v>0</v>
      </c>
    </row>
    <row r="110" spans="1:10" x14ac:dyDescent="0.25">
      <c r="A110" s="1">
        <v>44256</v>
      </c>
      <c r="B110" t="s">
        <v>30</v>
      </c>
      <c r="C110" t="str">
        <f t="shared" si="2"/>
        <v>Chloe Fusaro</v>
      </c>
      <c r="D110" t="s">
        <v>31</v>
      </c>
      <c r="E110" t="s">
        <v>32</v>
      </c>
      <c r="F110" t="s">
        <v>33</v>
      </c>
      <c r="G110" s="4">
        <v>10758.7</v>
      </c>
      <c r="H110" t="s">
        <v>15</v>
      </c>
      <c r="I110">
        <v>15000</v>
      </c>
      <c r="J110" s="4">
        <f t="shared" si="3"/>
        <v>0</v>
      </c>
    </row>
    <row r="111" spans="1:10" x14ac:dyDescent="0.25">
      <c r="A111" s="1">
        <v>44256</v>
      </c>
      <c r="B111" t="s">
        <v>59</v>
      </c>
      <c r="C111" t="str">
        <f t="shared" si="2"/>
        <v>David Wilkinson</v>
      </c>
      <c r="D111" t="s">
        <v>60</v>
      </c>
      <c r="E111" t="s">
        <v>61</v>
      </c>
      <c r="F111" t="s">
        <v>33</v>
      </c>
      <c r="G111" s="4">
        <v>12124.2</v>
      </c>
      <c r="H111" t="s">
        <v>43</v>
      </c>
      <c r="I111">
        <v>15000</v>
      </c>
      <c r="J111" s="4">
        <f t="shared" si="3"/>
        <v>0</v>
      </c>
    </row>
    <row r="112" spans="1:10" x14ac:dyDescent="0.25">
      <c r="A112" s="1">
        <v>44256</v>
      </c>
      <c r="B112" t="s">
        <v>62</v>
      </c>
      <c r="C112" t="str">
        <f t="shared" si="2"/>
        <v>Charlotte Edwards</v>
      </c>
      <c r="D112" t="s">
        <v>63</v>
      </c>
      <c r="E112" t="s">
        <v>64</v>
      </c>
      <c r="F112" t="s">
        <v>33</v>
      </c>
      <c r="G112" s="4">
        <v>14391.999999999998</v>
      </c>
      <c r="H112" t="s">
        <v>11</v>
      </c>
      <c r="I112">
        <v>15000</v>
      </c>
      <c r="J112" s="4">
        <f t="shared" si="3"/>
        <v>0</v>
      </c>
    </row>
    <row r="113" spans="1:10" x14ac:dyDescent="0.25">
      <c r="A113" s="1">
        <v>44256</v>
      </c>
      <c r="B113" t="s">
        <v>40</v>
      </c>
      <c r="C113" t="str">
        <f t="shared" si="2"/>
        <v>Jonah Seitz</v>
      </c>
      <c r="D113" t="s">
        <v>41</v>
      </c>
      <c r="E113" t="s">
        <v>42</v>
      </c>
      <c r="F113" t="s">
        <v>33</v>
      </c>
      <c r="G113" s="4">
        <v>15246</v>
      </c>
      <c r="H113" t="s">
        <v>11</v>
      </c>
      <c r="I113">
        <v>15000</v>
      </c>
      <c r="J113" s="4">
        <f t="shared" si="3"/>
        <v>1524.6000000000001</v>
      </c>
    </row>
    <row r="114" spans="1:10" x14ac:dyDescent="0.25">
      <c r="A114" s="1">
        <v>44256</v>
      </c>
      <c r="B114" t="s">
        <v>62</v>
      </c>
      <c r="C114" t="str">
        <f t="shared" si="2"/>
        <v>Charlotte Edwards</v>
      </c>
      <c r="D114" t="s">
        <v>63</v>
      </c>
      <c r="E114" t="s">
        <v>64</v>
      </c>
      <c r="F114" t="s">
        <v>33</v>
      </c>
      <c r="G114" s="4">
        <v>17335.2</v>
      </c>
      <c r="H114" t="s">
        <v>43</v>
      </c>
      <c r="I114">
        <v>15000</v>
      </c>
      <c r="J114" s="4">
        <f t="shared" si="3"/>
        <v>1733.5200000000002</v>
      </c>
    </row>
    <row r="115" spans="1:10" x14ac:dyDescent="0.25">
      <c r="A115" s="1">
        <v>44256</v>
      </c>
      <c r="B115" t="s">
        <v>40</v>
      </c>
      <c r="C115" t="str">
        <f t="shared" si="2"/>
        <v>Jonah Seitz</v>
      </c>
      <c r="D115" t="s">
        <v>41</v>
      </c>
      <c r="E115" t="s">
        <v>42</v>
      </c>
      <c r="F115" t="s">
        <v>33</v>
      </c>
      <c r="G115" s="4">
        <v>40831</v>
      </c>
      <c r="H115" t="s">
        <v>11</v>
      </c>
      <c r="I115">
        <v>15000</v>
      </c>
      <c r="J115" s="4">
        <f t="shared" si="3"/>
        <v>4083.1000000000004</v>
      </c>
    </row>
    <row r="116" spans="1:10" x14ac:dyDescent="0.25">
      <c r="A116" s="1">
        <v>44287</v>
      </c>
      <c r="B116" t="s">
        <v>30</v>
      </c>
      <c r="C116" t="str">
        <f t="shared" si="2"/>
        <v>Chloe Fusaro</v>
      </c>
      <c r="D116" t="s">
        <v>31</v>
      </c>
      <c r="E116" t="s">
        <v>32</v>
      </c>
      <c r="F116" t="s">
        <v>33</v>
      </c>
      <c r="G116" s="4">
        <v>8520</v>
      </c>
      <c r="H116" t="s">
        <v>43</v>
      </c>
      <c r="I116">
        <v>15000</v>
      </c>
      <c r="J116" s="4">
        <f t="shared" si="3"/>
        <v>0</v>
      </c>
    </row>
    <row r="117" spans="1:10" x14ac:dyDescent="0.25">
      <c r="A117" s="1">
        <v>44287</v>
      </c>
      <c r="B117" t="s">
        <v>62</v>
      </c>
      <c r="C117" t="str">
        <f t="shared" si="2"/>
        <v>Charlotte Edwards</v>
      </c>
      <c r="D117" t="s">
        <v>63</v>
      </c>
      <c r="E117" t="s">
        <v>64</v>
      </c>
      <c r="F117" t="s">
        <v>33</v>
      </c>
      <c r="G117" s="4">
        <v>14301.599999999999</v>
      </c>
      <c r="H117" t="s">
        <v>43</v>
      </c>
      <c r="I117">
        <v>15000</v>
      </c>
      <c r="J117" s="4">
        <f t="shared" si="3"/>
        <v>0</v>
      </c>
    </row>
    <row r="118" spans="1:10" x14ac:dyDescent="0.25">
      <c r="A118" s="1">
        <v>44287</v>
      </c>
      <c r="B118" t="s">
        <v>62</v>
      </c>
      <c r="C118" t="str">
        <f t="shared" si="2"/>
        <v>Charlotte Edwards</v>
      </c>
      <c r="D118" t="s">
        <v>63</v>
      </c>
      <c r="E118" t="s">
        <v>64</v>
      </c>
      <c r="F118" t="s">
        <v>33</v>
      </c>
      <c r="G118" s="4">
        <v>17204.399999999998</v>
      </c>
      <c r="H118" t="s">
        <v>11</v>
      </c>
      <c r="I118">
        <v>15000</v>
      </c>
      <c r="J118" s="4">
        <f t="shared" si="3"/>
        <v>1720.4399999999998</v>
      </c>
    </row>
    <row r="119" spans="1:10" x14ac:dyDescent="0.25">
      <c r="A119" s="1">
        <v>44287</v>
      </c>
      <c r="B119" t="s">
        <v>40</v>
      </c>
      <c r="C119" t="str">
        <f t="shared" si="2"/>
        <v>Jonah Seitz</v>
      </c>
      <c r="D119" t="s">
        <v>41</v>
      </c>
      <c r="E119" t="s">
        <v>42</v>
      </c>
      <c r="F119" t="s">
        <v>33</v>
      </c>
      <c r="G119" s="4">
        <v>19080</v>
      </c>
      <c r="H119" t="s">
        <v>15</v>
      </c>
      <c r="I119">
        <v>15000</v>
      </c>
      <c r="J119" s="4">
        <f t="shared" si="3"/>
        <v>1908</v>
      </c>
    </row>
    <row r="120" spans="1:10" x14ac:dyDescent="0.25">
      <c r="A120" s="1">
        <v>44287</v>
      </c>
      <c r="B120" t="s">
        <v>30</v>
      </c>
      <c r="C120" t="str">
        <f t="shared" si="2"/>
        <v>Chloe Fusaro</v>
      </c>
      <c r="D120" t="s">
        <v>31</v>
      </c>
      <c r="E120" t="s">
        <v>32</v>
      </c>
      <c r="F120" t="s">
        <v>33</v>
      </c>
      <c r="G120" s="4">
        <v>19210.400000000001</v>
      </c>
      <c r="H120" t="s">
        <v>11</v>
      </c>
      <c r="I120">
        <v>15000</v>
      </c>
      <c r="J120" s="4">
        <f t="shared" si="3"/>
        <v>1921.0400000000002</v>
      </c>
    </row>
    <row r="121" spans="1:10" x14ac:dyDescent="0.25">
      <c r="A121" s="1">
        <v>44287</v>
      </c>
      <c r="B121" t="s">
        <v>30</v>
      </c>
      <c r="C121" t="str">
        <f t="shared" si="2"/>
        <v>Chloe Fusaro</v>
      </c>
      <c r="D121" t="s">
        <v>31</v>
      </c>
      <c r="E121" t="s">
        <v>32</v>
      </c>
      <c r="F121" t="s">
        <v>33</v>
      </c>
      <c r="G121" s="4">
        <v>32282.799999999996</v>
      </c>
      <c r="H121" t="s">
        <v>15</v>
      </c>
      <c r="I121">
        <v>15000</v>
      </c>
      <c r="J121" s="4">
        <f t="shared" si="3"/>
        <v>3228.2799999999997</v>
      </c>
    </row>
    <row r="122" spans="1:10" x14ac:dyDescent="0.25">
      <c r="A122" s="1">
        <v>44287</v>
      </c>
      <c r="B122" t="s">
        <v>71</v>
      </c>
      <c r="C122" t="str">
        <f t="shared" si="2"/>
        <v>Sarah Gibbs</v>
      </c>
      <c r="D122" t="s">
        <v>72</v>
      </c>
      <c r="E122" t="s">
        <v>73</v>
      </c>
      <c r="F122" t="s">
        <v>33</v>
      </c>
      <c r="G122" s="4">
        <v>32524.1</v>
      </c>
      <c r="H122" t="s">
        <v>11</v>
      </c>
      <c r="I122">
        <v>15000</v>
      </c>
      <c r="J122" s="4">
        <f t="shared" si="3"/>
        <v>3252.41</v>
      </c>
    </row>
    <row r="123" spans="1:10" x14ac:dyDescent="0.25">
      <c r="A123" s="1">
        <v>44287</v>
      </c>
      <c r="B123" t="s">
        <v>30</v>
      </c>
      <c r="C123" t="str">
        <f t="shared" si="2"/>
        <v>Chloe Fusaro</v>
      </c>
      <c r="D123" t="s">
        <v>31</v>
      </c>
      <c r="E123" t="s">
        <v>32</v>
      </c>
      <c r="F123" t="s">
        <v>33</v>
      </c>
      <c r="G123" s="4">
        <v>35153.799999999996</v>
      </c>
      <c r="H123" t="s">
        <v>11</v>
      </c>
      <c r="I123">
        <v>15000</v>
      </c>
      <c r="J123" s="4">
        <f t="shared" si="3"/>
        <v>3515.3799999999997</v>
      </c>
    </row>
    <row r="124" spans="1:10" x14ac:dyDescent="0.25">
      <c r="A124" s="1">
        <v>44287</v>
      </c>
      <c r="B124" t="s">
        <v>30</v>
      </c>
      <c r="C124" t="str">
        <f t="shared" si="2"/>
        <v>Chloe Fusaro</v>
      </c>
      <c r="D124" t="s">
        <v>31</v>
      </c>
      <c r="E124" t="s">
        <v>32</v>
      </c>
      <c r="F124" t="s">
        <v>33</v>
      </c>
      <c r="G124" s="4">
        <v>35820</v>
      </c>
      <c r="H124" t="s">
        <v>43</v>
      </c>
      <c r="I124">
        <v>15000</v>
      </c>
      <c r="J124" s="4">
        <f t="shared" si="3"/>
        <v>3582</v>
      </c>
    </row>
    <row r="125" spans="1:10" x14ac:dyDescent="0.25">
      <c r="A125" s="1">
        <v>44287</v>
      </c>
      <c r="B125" t="s">
        <v>59</v>
      </c>
      <c r="C125" t="str">
        <f t="shared" si="2"/>
        <v>David Wilkinson</v>
      </c>
      <c r="D125" t="s">
        <v>60</v>
      </c>
      <c r="E125" t="s">
        <v>61</v>
      </c>
      <c r="F125" t="s">
        <v>33</v>
      </c>
      <c r="G125" s="4">
        <v>42690.400000000001</v>
      </c>
      <c r="H125" t="s">
        <v>43</v>
      </c>
      <c r="I125">
        <v>15000</v>
      </c>
      <c r="J125" s="4">
        <f t="shared" si="3"/>
        <v>4269.04</v>
      </c>
    </row>
    <row r="126" spans="1:10" x14ac:dyDescent="0.25">
      <c r="A126" s="1">
        <v>44317</v>
      </c>
      <c r="B126" t="s">
        <v>59</v>
      </c>
      <c r="C126" t="str">
        <f t="shared" si="2"/>
        <v>David Wilkinson</v>
      </c>
      <c r="D126" t="s">
        <v>60</v>
      </c>
      <c r="E126" t="s">
        <v>61</v>
      </c>
      <c r="F126" t="s">
        <v>33</v>
      </c>
      <c r="G126" s="4">
        <v>9270.1</v>
      </c>
      <c r="H126" t="s">
        <v>11</v>
      </c>
      <c r="I126">
        <v>15000</v>
      </c>
      <c r="J126" s="4">
        <f t="shared" si="3"/>
        <v>0</v>
      </c>
    </row>
    <row r="127" spans="1:10" x14ac:dyDescent="0.25">
      <c r="A127" s="1">
        <v>44317</v>
      </c>
      <c r="B127" t="s">
        <v>59</v>
      </c>
      <c r="C127" t="str">
        <f t="shared" si="2"/>
        <v>David Wilkinson</v>
      </c>
      <c r="D127" t="s">
        <v>60</v>
      </c>
      <c r="E127" t="s">
        <v>61</v>
      </c>
      <c r="F127" t="s">
        <v>33</v>
      </c>
      <c r="G127" s="4">
        <v>11235</v>
      </c>
      <c r="H127" t="s">
        <v>43</v>
      </c>
      <c r="I127">
        <v>15000</v>
      </c>
      <c r="J127" s="4">
        <f t="shared" si="3"/>
        <v>0</v>
      </c>
    </row>
    <row r="128" spans="1:10" x14ac:dyDescent="0.25">
      <c r="A128" s="1">
        <v>44317</v>
      </c>
      <c r="B128" t="s">
        <v>71</v>
      </c>
      <c r="C128" t="str">
        <f t="shared" si="2"/>
        <v>Sarah Gibbs</v>
      </c>
      <c r="D128" t="s">
        <v>72</v>
      </c>
      <c r="E128" t="s">
        <v>73</v>
      </c>
      <c r="F128" t="s">
        <v>33</v>
      </c>
      <c r="G128" s="4">
        <v>12019.799999999997</v>
      </c>
      <c r="H128" t="s">
        <v>11</v>
      </c>
      <c r="I128">
        <v>15000</v>
      </c>
      <c r="J128" s="4">
        <f t="shared" si="3"/>
        <v>0</v>
      </c>
    </row>
    <row r="129" spans="1:10" x14ac:dyDescent="0.25">
      <c r="A129" s="1">
        <v>44317</v>
      </c>
      <c r="B129" t="s">
        <v>30</v>
      </c>
      <c r="C129" t="str">
        <f t="shared" si="2"/>
        <v>Chloe Fusaro</v>
      </c>
      <c r="D129" t="s">
        <v>31</v>
      </c>
      <c r="E129" t="s">
        <v>32</v>
      </c>
      <c r="F129" t="s">
        <v>33</v>
      </c>
      <c r="G129" s="4">
        <v>27930</v>
      </c>
      <c r="H129" t="s">
        <v>15</v>
      </c>
      <c r="I129">
        <v>15000</v>
      </c>
      <c r="J129" s="4">
        <f t="shared" si="3"/>
        <v>2793</v>
      </c>
    </row>
    <row r="130" spans="1:10" x14ac:dyDescent="0.25">
      <c r="A130" s="1">
        <v>44348</v>
      </c>
      <c r="B130" t="s">
        <v>40</v>
      </c>
      <c r="C130" t="str">
        <f t="shared" si="2"/>
        <v>Jonah Seitz</v>
      </c>
      <c r="D130" t="s">
        <v>41</v>
      </c>
      <c r="E130" t="s">
        <v>42</v>
      </c>
      <c r="F130" t="s">
        <v>33</v>
      </c>
      <c r="G130" s="4">
        <v>7581.9999999999991</v>
      </c>
      <c r="H130" t="s">
        <v>11</v>
      </c>
      <c r="I130">
        <v>15000</v>
      </c>
      <c r="J130" s="4">
        <f t="shared" si="3"/>
        <v>0</v>
      </c>
    </row>
    <row r="131" spans="1:10" x14ac:dyDescent="0.25">
      <c r="A131" s="1">
        <v>44348</v>
      </c>
      <c r="B131" t="s">
        <v>30</v>
      </c>
      <c r="C131" t="str">
        <f t="shared" ref="C131:C194" si="4">TRIM(B131)</f>
        <v>Chloe Fusaro</v>
      </c>
      <c r="D131" t="s">
        <v>31</v>
      </c>
      <c r="E131" t="s">
        <v>32</v>
      </c>
      <c r="F131" t="s">
        <v>33</v>
      </c>
      <c r="G131" s="4">
        <v>8721.6</v>
      </c>
      <c r="H131" t="s">
        <v>43</v>
      </c>
      <c r="I131">
        <v>15000</v>
      </c>
      <c r="J131" s="4">
        <f t="shared" ref="J131:J194" si="5">IF(G131&gt;=I131,G131*$L$2,0)</f>
        <v>0</v>
      </c>
    </row>
    <row r="132" spans="1:10" x14ac:dyDescent="0.25">
      <c r="A132" s="1">
        <v>44348</v>
      </c>
      <c r="B132" t="s">
        <v>40</v>
      </c>
      <c r="C132" t="str">
        <f t="shared" si="4"/>
        <v>Jonah Seitz</v>
      </c>
      <c r="D132" t="s">
        <v>41</v>
      </c>
      <c r="E132" t="s">
        <v>42</v>
      </c>
      <c r="F132" t="s">
        <v>33</v>
      </c>
      <c r="G132" s="4">
        <v>10500</v>
      </c>
      <c r="H132" t="s">
        <v>15</v>
      </c>
      <c r="I132">
        <v>15000</v>
      </c>
      <c r="J132" s="4">
        <f t="shared" si="5"/>
        <v>0</v>
      </c>
    </row>
    <row r="133" spans="1:10" x14ac:dyDescent="0.25">
      <c r="A133" s="1">
        <v>44348</v>
      </c>
      <c r="B133" t="s">
        <v>59</v>
      </c>
      <c r="C133" t="str">
        <f t="shared" si="4"/>
        <v>David Wilkinson</v>
      </c>
      <c r="D133" t="s">
        <v>60</v>
      </c>
      <c r="E133" t="s">
        <v>61</v>
      </c>
      <c r="F133" t="s">
        <v>33</v>
      </c>
      <c r="G133" s="4">
        <v>13466.999999999998</v>
      </c>
      <c r="H133" t="s">
        <v>43</v>
      </c>
      <c r="I133">
        <v>15000</v>
      </c>
      <c r="J133" s="4">
        <f t="shared" si="5"/>
        <v>0</v>
      </c>
    </row>
    <row r="134" spans="1:10" x14ac:dyDescent="0.25">
      <c r="A134" s="1">
        <v>44348</v>
      </c>
      <c r="B134" t="s">
        <v>40</v>
      </c>
      <c r="C134" t="str">
        <f t="shared" si="4"/>
        <v>Jonah Seitz</v>
      </c>
      <c r="D134" t="s">
        <v>41</v>
      </c>
      <c r="E134" t="s">
        <v>42</v>
      </c>
      <c r="F134" t="s">
        <v>33</v>
      </c>
      <c r="G134" s="4">
        <v>16036.8</v>
      </c>
      <c r="H134" t="s">
        <v>15</v>
      </c>
      <c r="I134">
        <v>15000</v>
      </c>
      <c r="J134" s="4">
        <f t="shared" si="5"/>
        <v>1603.68</v>
      </c>
    </row>
    <row r="135" spans="1:10" x14ac:dyDescent="0.25">
      <c r="A135" s="1">
        <v>44348</v>
      </c>
      <c r="B135" t="s">
        <v>62</v>
      </c>
      <c r="C135" t="str">
        <f t="shared" si="4"/>
        <v>Charlotte Edwards</v>
      </c>
      <c r="D135" t="s">
        <v>63</v>
      </c>
      <c r="E135" t="s">
        <v>64</v>
      </c>
      <c r="F135" t="s">
        <v>33</v>
      </c>
      <c r="G135" s="4">
        <v>16846.8</v>
      </c>
      <c r="H135" t="s">
        <v>15</v>
      </c>
      <c r="I135">
        <v>15000</v>
      </c>
      <c r="J135" s="4">
        <f t="shared" si="5"/>
        <v>1684.68</v>
      </c>
    </row>
    <row r="136" spans="1:10" x14ac:dyDescent="0.25">
      <c r="A136" s="1">
        <v>44378</v>
      </c>
      <c r="B136" t="s">
        <v>59</v>
      </c>
      <c r="C136" t="str">
        <f t="shared" si="4"/>
        <v>David Wilkinson</v>
      </c>
      <c r="D136" t="s">
        <v>60</v>
      </c>
      <c r="E136" t="s">
        <v>61</v>
      </c>
      <c r="F136" t="s">
        <v>33</v>
      </c>
      <c r="G136" s="4">
        <v>15957.2</v>
      </c>
      <c r="H136" t="s">
        <v>43</v>
      </c>
      <c r="I136">
        <v>15000</v>
      </c>
      <c r="J136" s="4">
        <f t="shared" si="5"/>
        <v>1595.7200000000003</v>
      </c>
    </row>
    <row r="137" spans="1:10" x14ac:dyDescent="0.25">
      <c r="A137" s="1">
        <v>44378</v>
      </c>
      <c r="B137" t="s">
        <v>71</v>
      </c>
      <c r="C137" t="str">
        <f t="shared" si="4"/>
        <v>Sarah Gibbs</v>
      </c>
      <c r="D137" t="s">
        <v>72</v>
      </c>
      <c r="E137" t="s">
        <v>73</v>
      </c>
      <c r="F137" t="s">
        <v>33</v>
      </c>
      <c r="G137" s="4">
        <v>16492</v>
      </c>
      <c r="H137" t="s">
        <v>11</v>
      </c>
      <c r="I137">
        <v>15000</v>
      </c>
      <c r="J137" s="4">
        <f t="shared" si="5"/>
        <v>1649.2</v>
      </c>
    </row>
    <row r="138" spans="1:10" x14ac:dyDescent="0.25">
      <c r="A138" s="1">
        <v>44378</v>
      </c>
      <c r="B138" t="s">
        <v>62</v>
      </c>
      <c r="C138" t="str">
        <f t="shared" si="4"/>
        <v>Charlotte Edwards</v>
      </c>
      <c r="D138" t="s">
        <v>63</v>
      </c>
      <c r="E138" t="s">
        <v>64</v>
      </c>
      <c r="F138" t="s">
        <v>33</v>
      </c>
      <c r="G138" s="4">
        <v>21295.4</v>
      </c>
      <c r="H138" t="s">
        <v>11</v>
      </c>
      <c r="I138">
        <v>15000</v>
      </c>
      <c r="J138" s="4">
        <f t="shared" si="5"/>
        <v>2129.5400000000004</v>
      </c>
    </row>
    <row r="139" spans="1:10" x14ac:dyDescent="0.25">
      <c r="A139" s="1">
        <v>44378</v>
      </c>
      <c r="B139" t="s">
        <v>30</v>
      </c>
      <c r="C139" t="str">
        <f t="shared" si="4"/>
        <v>Chloe Fusaro</v>
      </c>
      <c r="D139" t="s">
        <v>31</v>
      </c>
      <c r="E139" t="s">
        <v>32</v>
      </c>
      <c r="F139" t="s">
        <v>33</v>
      </c>
      <c r="G139" s="4">
        <v>25518.800000000003</v>
      </c>
      <c r="H139" t="s">
        <v>11</v>
      </c>
      <c r="I139">
        <v>15000</v>
      </c>
      <c r="J139" s="4">
        <f t="shared" si="5"/>
        <v>2551.8800000000006</v>
      </c>
    </row>
    <row r="140" spans="1:10" x14ac:dyDescent="0.25">
      <c r="A140" s="1">
        <v>44378</v>
      </c>
      <c r="B140" t="s">
        <v>30</v>
      </c>
      <c r="C140" t="str">
        <f t="shared" si="4"/>
        <v>Chloe Fusaro</v>
      </c>
      <c r="D140" t="s">
        <v>31</v>
      </c>
      <c r="E140" t="s">
        <v>32</v>
      </c>
      <c r="F140" t="s">
        <v>33</v>
      </c>
      <c r="G140" s="4">
        <v>27676.6</v>
      </c>
      <c r="H140" t="s">
        <v>15</v>
      </c>
      <c r="I140">
        <v>15000</v>
      </c>
      <c r="J140" s="4">
        <f t="shared" si="5"/>
        <v>2767.66</v>
      </c>
    </row>
    <row r="141" spans="1:10" x14ac:dyDescent="0.25">
      <c r="A141" s="1">
        <v>44378</v>
      </c>
      <c r="B141" t="s">
        <v>62</v>
      </c>
      <c r="C141" t="str">
        <f t="shared" si="4"/>
        <v>Charlotte Edwards</v>
      </c>
      <c r="D141" t="s">
        <v>63</v>
      </c>
      <c r="E141" t="s">
        <v>64</v>
      </c>
      <c r="F141" t="s">
        <v>33</v>
      </c>
      <c r="G141" s="4">
        <v>28395</v>
      </c>
      <c r="H141" t="s">
        <v>43</v>
      </c>
      <c r="I141">
        <v>15000</v>
      </c>
      <c r="J141" s="4">
        <f t="shared" si="5"/>
        <v>2839.5</v>
      </c>
    </row>
    <row r="142" spans="1:10" x14ac:dyDescent="0.25">
      <c r="A142" s="1">
        <v>44378</v>
      </c>
      <c r="B142" t="s">
        <v>71</v>
      </c>
      <c r="C142" t="str">
        <f t="shared" si="4"/>
        <v>Sarah Gibbs</v>
      </c>
      <c r="D142" t="s">
        <v>72</v>
      </c>
      <c r="E142" t="s">
        <v>73</v>
      </c>
      <c r="F142" t="s">
        <v>33</v>
      </c>
      <c r="G142" s="4">
        <v>41826.400000000001</v>
      </c>
      <c r="H142" t="s">
        <v>43</v>
      </c>
      <c r="I142">
        <v>15000</v>
      </c>
      <c r="J142" s="4">
        <f t="shared" si="5"/>
        <v>4182.6400000000003</v>
      </c>
    </row>
    <row r="143" spans="1:10" x14ac:dyDescent="0.25">
      <c r="A143" s="1">
        <v>44378</v>
      </c>
      <c r="B143" t="s">
        <v>71</v>
      </c>
      <c r="C143" t="str">
        <f t="shared" si="4"/>
        <v>Sarah Gibbs</v>
      </c>
      <c r="D143" t="s">
        <v>72</v>
      </c>
      <c r="E143" t="s">
        <v>73</v>
      </c>
      <c r="F143" t="s">
        <v>33</v>
      </c>
      <c r="G143" s="4">
        <v>49055.999999999993</v>
      </c>
      <c r="H143" t="s">
        <v>11</v>
      </c>
      <c r="I143">
        <v>15000</v>
      </c>
      <c r="J143" s="4">
        <f t="shared" si="5"/>
        <v>4905.5999999999995</v>
      </c>
    </row>
    <row r="144" spans="1:10" x14ac:dyDescent="0.25">
      <c r="A144" s="1">
        <v>44409</v>
      </c>
      <c r="B144" t="s">
        <v>30</v>
      </c>
      <c r="C144" t="str">
        <f t="shared" si="4"/>
        <v>Chloe Fusaro</v>
      </c>
      <c r="D144" t="s">
        <v>31</v>
      </c>
      <c r="E144" t="s">
        <v>32</v>
      </c>
      <c r="F144" t="s">
        <v>33</v>
      </c>
      <c r="G144" s="4">
        <v>6201</v>
      </c>
      <c r="H144" t="s">
        <v>43</v>
      </c>
      <c r="I144">
        <v>15000</v>
      </c>
      <c r="J144" s="4">
        <f t="shared" si="5"/>
        <v>0</v>
      </c>
    </row>
    <row r="145" spans="1:10" x14ac:dyDescent="0.25">
      <c r="A145" s="1">
        <v>44409</v>
      </c>
      <c r="B145" t="s">
        <v>59</v>
      </c>
      <c r="C145" t="str">
        <f t="shared" si="4"/>
        <v>David Wilkinson</v>
      </c>
      <c r="D145" t="s">
        <v>60</v>
      </c>
      <c r="E145" t="s">
        <v>61</v>
      </c>
      <c r="F145" t="s">
        <v>33</v>
      </c>
      <c r="G145" s="4">
        <v>6311.4</v>
      </c>
      <c r="H145" t="s">
        <v>43</v>
      </c>
      <c r="I145">
        <v>15000</v>
      </c>
      <c r="J145" s="4">
        <f t="shared" si="5"/>
        <v>0</v>
      </c>
    </row>
    <row r="146" spans="1:10" x14ac:dyDescent="0.25">
      <c r="A146" s="1">
        <v>44409</v>
      </c>
      <c r="B146" t="s">
        <v>40</v>
      </c>
      <c r="C146" t="str">
        <f t="shared" si="4"/>
        <v>Jonah Seitz</v>
      </c>
      <c r="D146" t="s">
        <v>41</v>
      </c>
      <c r="E146" t="s">
        <v>42</v>
      </c>
      <c r="F146" t="s">
        <v>33</v>
      </c>
      <c r="G146" s="4">
        <v>7289.6</v>
      </c>
      <c r="H146" t="s">
        <v>11</v>
      </c>
      <c r="I146">
        <v>15000</v>
      </c>
      <c r="J146" s="4">
        <f t="shared" si="5"/>
        <v>0</v>
      </c>
    </row>
    <row r="147" spans="1:10" x14ac:dyDescent="0.25">
      <c r="A147" s="1">
        <v>44409</v>
      </c>
      <c r="B147" t="s">
        <v>40</v>
      </c>
      <c r="C147" t="str">
        <f t="shared" si="4"/>
        <v>Jonah Seitz</v>
      </c>
      <c r="D147" t="s">
        <v>41</v>
      </c>
      <c r="E147" t="s">
        <v>42</v>
      </c>
      <c r="F147" t="s">
        <v>33</v>
      </c>
      <c r="G147" s="4">
        <v>8322.4</v>
      </c>
      <c r="H147" t="s">
        <v>11</v>
      </c>
      <c r="I147">
        <v>15000</v>
      </c>
      <c r="J147" s="4">
        <f t="shared" si="5"/>
        <v>0</v>
      </c>
    </row>
    <row r="148" spans="1:10" x14ac:dyDescent="0.25">
      <c r="A148" s="1">
        <v>44409</v>
      </c>
      <c r="B148" t="s">
        <v>62</v>
      </c>
      <c r="C148" t="str">
        <f t="shared" si="4"/>
        <v>Charlotte Edwards</v>
      </c>
      <c r="D148" t="s">
        <v>63</v>
      </c>
      <c r="E148" t="s">
        <v>64</v>
      </c>
      <c r="F148" t="s">
        <v>33</v>
      </c>
      <c r="G148" s="4">
        <v>8501.9000000000015</v>
      </c>
      <c r="H148" t="s">
        <v>15</v>
      </c>
      <c r="I148">
        <v>15000</v>
      </c>
      <c r="J148" s="4">
        <f t="shared" si="5"/>
        <v>0</v>
      </c>
    </row>
    <row r="149" spans="1:10" x14ac:dyDescent="0.25">
      <c r="A149" s="1">
        <v>44409</v>
      </c>
      <c r="B149" t="s">
        <v>30</v>
      </c>
      <c r="C149" t="str">
        <f t="shared" si="4"/>
        <v>Chloe Fusaro</v>
      </c>
      <c r="D149" t="s">
        <v>31</v>
      </c>
      <c r="E149" t="s">
        <v>32</v>
      </c>
      <c r="F149" t="s">
        <v>33</v>
      </c>
      <c r="G149" s="4">
        <v>9708.2999999999993</v>
      </c>
      <c r="H149" t="s">
        <v>15</v>
      </c>
      <c r="I149">
        <v>15000</v>
      </c>
      <c r="J149" s="4">
        <f t="shared" si="5"/>
        <v>0</v>
      </c>
    </row>
    <row r="150" spans="1:10" x14ac:dyDescent="0.25">
      <c r="A150" s="1">
        <v>44409</v>
      </c>
      <c r="B150" t="s">
        <v>40</v>
      </c>
      <c r="C150" t="str">
        <f t="shared" si="4"/>
        <v>Jonah Seitz</v>
      </c>
      <c r="D150" t="s">
        <v>41</v>
      </c>
      <c r="E150" t="s">
        <v>42</v>
      </c>
      <c r="F150" t="s">
        <v>33</v>
      </c>
      <c r="G150" s="4">
        <v>12944.399999999998</v>
      </c>
      <c r="H150" t="s">
        <v>15</v>
      </c>
      <c r="I150">
        <v>15000</v>
      </c>
      <c r="J150" s="4">
        <f t="shared" si="5"/>
        <v>0</v>
      </c>
    </row>
    <row r="151" spans="1:10" x14ac:dyDescent="0.25">
      <c r="A151" s="1">
        <v>44409</v>
      </c>
      <c r="B151" t="s">
        <v>30</v>
      </c>
      <c r="C151" t="str">
        <f t="shared" si="4"/>
        <v>Chloe Fusaro</v>
      </c>
      <c r="D151" t="s">
        <v>31</v>
      </c>
      <c r="E151" t="s">
        <v>32</v>
      </c>
      <c r="F151" t="s">
        <v>33</v>
      </c>
      <c r="G151" s="4">
        <v>14248</v>
      </c>
      <c r="H151" t="s">
        <v>15</v>
      </c>
      <c r="I151">
        <v>15000</v>
      </c>
      <c r="J151" s="4">
        <f t="shared" si="5"/>
        <v>0</v>
      </c>
    </row>
    <row r="152" spans="1:10" x14ac:dyDescent="0.25">
      <c r="A152" s="1">
        <v>44409</v>
      </c>
      <c r="B152" t="s">
        <v>40</v>
      </c>
      <c r="C152" t="str">
        <f t="shared" si="4"/>
        <v>Jonah Seitz</v>
      </c>
      <c r="D152" t="s">
        <v>41</v>
      </c>
      <c r="E152" t="s">
        <v>42</v>
      </c>
      <c r="F152" t="s">
        <v>33</v>
      </c>
      <c r="G152" s="4">
        <v>18298.399999999998</v>
      </c>
      <c r="H152" t="s">
        <v>43</v>
      </c>
      <c r="I152">
        <v>15000</v>
      </c>
      <c r="J152" s="4">
        <f t="shared" si="5"/>
        <v>1829.84</v>
      </c>
    </row>
    <row r="153" spans="1:10" x14ac:dyDescent="0.25">
      <c r="A153" s="1">
        <v>44409</v>
      </c>
      <c r="B153" t="s">
        <v>40</v>
      </c>
      <c r="C153" t="str">
        <f t="shared" si="4"/>
        <v>Jonah Seitz</v>
      </c>
      <c r="D153" t="s">
        <v>41</v>
      </c>
      <c r="E153" t="s">
        <v>42</v>
      </c>
      <c r="F153" t="s">
        <v>33</v>
      </c>
      <c r="G153" s="4">
        <v>18838.399999999998</v>
      </c>
      <c r="H153" t="s">
        <v>43</v>
      </c>
      <c r="I153">
        <v>15000</v>
      </c>
      <c r="J153" s="4">
        <f t="shared" si="5"/>
        <v>1883.84</v>
      </c>
    </row>
    <row r="154" spans="1:10" x14ac:dyDescent="0.25">
      <c r="A154" s="1">
        <v>44409</v>
      </c>
      <c r="B154" t="s">
        <v>71</v>
      </c>
      <c r="C154" t="str">
        <f t="shared" si="4"/>
        <v>Sarah Gibbs</v>
      </c>
      <c r="D154" t="s">
        <v>72</v>
      </c>
      <c r="E154" t="s">
        <v>73</v>
      </c>
      <c r="F154" t="s">
        <v>33</v>
      </c>
      <c r="G154" s="4">
        <v>24469.599999999999</v>
      </c>
      <c r="H154" t="s">
        <v>15</v>
      </c>
      <c r="I154">
        <v>15000</v>
      </c>
      <c r="J154" s="4">
        <f t="shared" si="5"/>
        <v>2446.96</v>
      </c>
    </row>
    <row r="155" spans="1:10" x14ac:dyDescent="0.25">
      <c r="A155" s="1">
        <v>44409</v>
      </c>
      <c r="B155" t="s">
        <v>71</v>
      </c>
      <c r="C155" t="str">
        <f t="shared" si="4"/>
        <v>Sarah Gibbs</v>
      </c>
      <c r="D155" t="s">
        <v>72</v>
      </c>
      <c r="E155" t="s">
        <v>73</v>
      </c>
      <c r="F155" t="s">
        <v>33</v>
      </c>
      <c r="G155" s="4">
        <v>31053.4</v>
      </c>
      <c r="H155" t="s">
        <v>11</v>
      </c>
      <c r="I155">
        <v>15000</v>
      </c>
      <c r="J155" s="4">
        <f t="shared" si="5"/>
        <v>3105.34</v>
      </c>
    </row>
    <row r="156" spans="1:10" x14ac:dyDescent="0.25">
      <c r="A156" s="1">
        <v>44440</v>
      </c>
      <c r="B156" t="s">
        <v>40</v>
      </c>
      <c r="C156" t="str">
        <f t="shared" si="4"/>
        <v>Jonah Seitz</v>
      </c>
      <c r="D156" t="s">
        <v>41</v>
      </c>
      <c r="E156" t="s">
        <v>42</v>
      </c>
      <c r="F156" t="s">
        <v>33</v>
      </c>
      <c r="G156" s="4">
        <v>3710</v>
      </c>
      <c r="H156" t="s">
        <v>43</v>
      </c>
      <c r="I156">
        <v>15000</v>
      </c>
      <c r="J156" s="4">
        <f t="shared" si="5"/>
        <v>0</v>
      </c>
    </row>
    <row r="157" spans="1:10" x14ac:dyDescent="0.25">
      <c r="A157" s="1">
        <v>44440</v>
      </c>
      <c r="B157" t="s">
        <v>62</v>
      </c>
      <c r="C157" t="str">
        <f t="shared" si="4"/>
        <v>Charlotte Edwards</v>
      </c>
      <c r="D157" t="s">
        <v>63</v>
      </c>
      <c r="E157" t="s">
        <v>64</v>
      </c>
      <c r="F157" t="s">
        <v>33</v>
      </c>
      <c r="G157" s="4">
        <v>6600</v>
      </c>
      <c r="H157" t="s">
        <v>11</v>
      </c>
      <c r="I157">
        <v>15000</v>
      </c>
      <c r="J157" s="4">
        <f t="shared" si="5"/>
        <v>0</v>
      </c>
    </row>
    <row r="158" spans="1:10" x14ac:dyDescent="0.25">
      <c r="A158" s="1">
        <v>44440</v>
      </c>
      <c r="B158" t="s">
        <v>71</v>
      </c>
      <c r="C158" t="str">
        <f t="shared" si="4"/>
        <v>Sarah Gibbs</v>
      </c>
      <c r="D158" t="s">
        <v>72</v>
      </c>
      <c r="E158" t="s">
        <v>73</v>
      </c>
      <c r="F158" t="s">
        <v>33</v>
      </c>
      <c r="G158" s="4">
        <v>8001</v>
      </c>
      <c r="H158" t="s">
        <v>11</v>
      </c>
      <c r="I158">
        <v>15000</v>
      </c>
      <c r="J158" s="4">
        <f t="shared" si="5"/>
        <v>0</v>
      </c>
    </row>
    <row r="159" spans="1:10" x14ac:dyDescent="0.25">
      <c r="A159" s="1">
        <v>44440</v>
      </c>
      <c r="B159" t="s">
        <v>40</v>
      </c>
      <c r="C159" t="str">
        <f t="shared" si="4"/>
        <v>Jonah Seitz</v>
      </c>
      <c r="D159" t="s">
        <v>41</v>
      </c>
      <c r="E159" t="s">
        <v>42</v>
      </c>
      <c r="F159" t="s">
        <v>33</v>
      </c>
      <c r="G159" s="4">
        <v>8772</v>
      </c>
      <c r="H159" t="s">
        <v>15</v>
      </c>
      <c r="I159">
        <v>15000</v>
      </c>
      <c r="J159" s="4">
        <f t="shared" si="5"/>
        <v>0</v>
      </c>
    </row>
    <row r="160" spans="1:10" x14ac:dyDescent="0.25">
      <c r="A160" s="1">
        <v>44440</v>
      </c>
      <c r="B160" t="s">
        <v>40</v>
      </c>
      <c r="C160" t="str">
        <f t="shared" si="4"/>
        <v>Jonah Seitz</v>
      </c>
      <c r="D160" t="s">
        <v>41</v>
      </c>
      <c r="E160" t="s">
        <v>42</v>
      </c>
      <c r="F160" t="s">
        <v>33</v>
      </c>
      <c r="G160" s="4">
        <v>14089.199999999999</v>
      </c>
      <c r="H160" t="s">
        <v>15</v>
      </c>
      <c r="I160">
        <v>15000</v>
      </c>
      <c r="J160" s="4">
        <f t="shared" si="5"/>
        <v>0</v>
      </c>
    </row>
    <row r="161" spans="1:10" x14ac:dyDescent="0.25">
      <c r="A161" s="1">
        <v>44440</v>
      </c>
      <c r="B161" t="s">
        <v>30</v>
      </c>
      <c r="C161" t="str">
        <f t="shared" si="4"/>
        <v>Chloe Fusaro</v>
      </c>
      <c r="D161" t="s">
        <v>31</v>
      </c>
      <c r="E161" t="s">
        <v>32</v>
      </c>
      <c r="F161" t="s">
        <v>33</v>
      </c>
      <c r="G161" s="4">
        <v>16702.400000000001</v>
      </c>
      <c r="H161" t="s">
        <v>15</v>
      </c>
      <c r="I161">
        <v>15000</v>
      </c>
      <c r="J161" s="4">
        <f t="shared" si="5"/>
        <v>1670.2400000000002</v>
      </c>
    </row>
    <row r="162" spans="1:10" x14ac:dyDescent="0.25">
      <c r="A162" s="1">
        <v>44440</v>
      </c>
      <c r="B162" t="s">
        <v>30</v>
      </c>
      <c r="C162" t="str">
        <f t="shared" si="4"/>
        <v>Chloe Fusaro</v>
      </c>
      <c r="D162" t="s">
        <v>31</v>
      </c>
      <c r="E162" t="s">
        <v>32</v>
      </c>
      <c r="F162" t="s">
        <v>33</v>
      </c>
      <c r="G162" s="4">
        <v>21216</v>
      </c>
      <c r="H162" t="s">
        <v>15</v>
      </c>
      <c r="I162">
        <v>15000</v>
      </c>
      <c r="J162" s="4">
        <f t="shared" si="5"/>
        <v>2121.6</v>
      </c>
    </row>
    <row r="163" spans="1:10" x14ac:dyDescent="0.25">
      <c r="A163" s="1">
        <v>44440</v>
      </c>
      <c r="B163" t="s">
        <v>62</v>
      </c>
      <c r="C163" t="str">
        <f t="shared" si="4"/>
        <v>Charlotte Edwards</v>
      </c>
      <c r="D163" t="s">
        <v>63</v>
      </c>
      <c r="E163" t="s">
        <v>64</v>
      </c>
      <c r="F163" t="s">
        <v>33</v>
      </c>
      <c r="G163" s="4">
        <v>21546</v>
      </c>
      <c r="H163" t="s">
        <v>11</v>
      </c>
      <c r="I163">
        <v>15000</v>
      </c>
      <c r="J163" s="4">
        <f t="shared" si="5"/>
        <v>2154.6</v>
      </c>
    </row>
    <row r="164" spans="1:10" x14ac:dyDescent="0.25">
      <c r="A164" s="1">
        <v>44440</v>
      </c>
      <c r="B164" t="s">
        <v>62</v>
      </c>
      <c r="C164" t="str">
        <f t="shared" si="4"/>
        <v>Charlotte Edwards</v>
      </c>
      <c r="D164" t="s">
        <v>63</v>
      </c>
      <c r="E164" t="s">
        <v>64</v>
      </c>
      <c r="F164" t="s">
        <v>33</v>
      </c>
      <c r="G164" s="4">
        <v>31186.6</v>
      </c>
      <c r="H164" t="s">
        <v>11</v>
      </c>
      <c r="I164">
        <v>15000</v>
      </c>
      <c r="J164" s="4">
        <f t="shared" si="5"/>
        <v>3118.66</v>
      </c>
    </row>
    <row r="165" spans="1:10" x14ac:dyDescent="0.25">
      <c r="A165" s="1">
        <v>44440</v>
      </c>
      <c r="B165" t="s">
        <v>30</v>
      </c>
      <c r="C165" t="str">
        <f t="shared" si="4"/>
        <v>Chloe Fusaro</v>
      </c>
      <c r="D165" t="s">
        <v>31</v>
      </c>
      <c r="E165" t="s">
        <v>32</v>
      </c>
      <c r="F165" t="s">
        <v>33</v>
      </c>
      <c r="G165" s="4">
        <v>31999.200000000001</v>
      </c>
      <c r="H165" t="s">
        <v>15</v>
      </c>
      <c r="I165">
        <v>15000</v>
      </c>
      <c r="J165" s="4">
        <f t="shared" si="5"/>
        <v>3199.92</v>
      </c>
    </row>
    <row r="166" spans="1:10" x14ac:dyDescent="0.25">
      <c r="A166" s="1">
        <v>44440</v>
      </c>
      <c r="B166" t="s">
        <v>62</v>
      </c>
      <c r="C166" t="str">
        <f t="shared" si="4"/>
        <v>Charlotte Edwards</v>
      </c>
      <c r="D166" t="s">
        <v>63</v>
      </c>
      <c r="E166" t="s">
        <v>64</v>
      </c>
      <c r="F166" t="s">
        <v>33</v>
      </c>
      <c r="G166" s="4">
        <v>37520</v>
      </c>
      <c r="H166" t="s">
        <v>15</v>
      </c>
      <c r="I166">
        <v>15000</v>
      </c>
      <c r="J166" s="4">
        <f t="shared" si="5"/>
        <v>3752</v>
      </c>
    </row>
    <row r="167" spans="1:10" x14ac:dyDescent="0.25">
      <c r="A167" s="1">
        <v>44440</v>
      </c>
      <c r="B167" t="s">
        <v>62</v>
      </c>
      <c r="C167" t="str">
        <f t="shared" si="4"/>
        <v>Charlotte Edwards</v>
      </c>
      <c r="D167" t="s">
        <v>63</v>
      </c>
      <c r="E167" t="s">
        <v>64</v>
      </c>
      <c r="F167" t="s">
        <v>33</v>
      </c>
      <c r="G167" s="4">
        <v>41215.299999999996</v>
      </c>
      <c r="H167" t="s">
        <v>43</v>
      </c>
      <c r="I167">
        <v>15000</v>
      </c>
      <c r="J167" s="4">
        <f t="shared" si="5"/>
        <v>4121.53</v>
      </c>
    </row>
    <row r="168" spans="1:10" x14ac:dyDescent="0.25">
      <c r="A168" s="1">
        <v>44470</v>
      </c>
      <c r="B168" t="s">
        <v>30</v>
      </c>
      <c r="C168" t="str">
        <f t="shared" si="4"/>
        <v>Chloe Fusaro</v>
      </c>
      <c r="D168" t="s">
        <v>31</v>
      </c>
      <c r="E168" t="s">
        <v>32</v>
      </c>
      <c r="F168" t="s">
        <v>33</v>
      </c>
      <c r="G168" s="4">
        <v>3035.1</v>
      </c>
      <c r="H168" t="s">
        <v>15</v>
      </c>
      <c r="I168">
        <v>15000</v>
      </c>
      <c r="J168" s="4">
        <f t="shared" si="5"/>
        <v>0</v>
      </c>
    </row>
    <row r="169" spans="1:10" x14ac:dyDescent="0.25">
      <c r="A169" s="1">
        <v>44470</v>
      </c>
      <c r="B169" t="s">
        <v>62</v>
      </c>
      <c r="C169" t="str">
        <f t="shared" si="4"/>
        <v>Charlotte Edwards</v>
      </c>
      <c r="D169" t="s">
        <v>63</v>
      </c>
      <c r="E169" t="s">
        <v>64</v>
      </c>
      <c r="F169" t="s">
        <v>33</v>
      </c>
      <c r="G169" s="4">
        <v>6688</v>
      </c>
      <c r="H169" t="s">
        <v>15</v>
      </c>
      <c r="I169">
        <v>15000</v>
      </c>
      <c r="J169" s="4">
        <f t="shared" si="5"/>
        <v>0</v>
      </c>
    </row>
    <row r="170" spans="1:10" x14ac:dyDescent="0.25">
      <c r="A170" s="1">
        <v>44470</v>
      </c>
      <c r="B170" t="s">
        <v>30</v>
      </c>
      <c r="C170" t="str">
        <f t="shared" si="4"/>
        <v>Chloe Fusaro</v>
      </c>
      <c r="D170" t="s">
        <v>31</v>
      </c>
      <c r="E170" t="s">
        <v>32</v>
      </c>
      <c r="F170" t="s">
        <v>33</v>
      </c>
      <c r="G170" s="4">
        <v>7024.2</v>
      </c>
      <c r="H170" t="s">
        <v>43</v>
      </c>
      <c r="I170">
        <v>15000</v>
      </c>
      <c r="J170" s="4">
        <f t="shared" si="5"/>
        <v>0</v>
      </c>
    </row>
    <row r="171" spans="1:10" x14ac:dyDescent="0.25">
      <c r="A171" s="1">
        <v>44470</v>
      </c>
      <c r="B171" t="s">
        <v>62</v>
      </c>
      <c r="C171" t="str">
        <f t="shared" si="4"/>
        <v>Charlotte Edwards</v>
      </c>
      <c r="D171" t="s">
        <v>63</v>
      </c>
      <c r="E171" t="s">
        <v>64</v>
      </c>
      <c r="F171" t="s">
        <v>33</v>
      </c>
      <c r="G171" s="4">
        <v>7139.0000000000009</v>
      </c>
      <c r="H171" t="s">
        <v>11</v>
      </c>
      <c r="I171">
        <v>15000</v>
      </c>
      <c r="J171" s="4">
        <f t="shared" si="5"/>
        <v>0</v>
      </c>
    </row>
    <row r="172" spans="1:10" x14ac:dyDescent="0.25">
      <c r="A172" s="1">
        <v>44470</v>
      </c>
      <c r="B172" t="s">
        <v>40</v>
      </c>
      <c r="C172" t="str">
        <f t="shared" si="4"/>
        <v>Jonah Seitz</v>
      </c>
      <c r="D172" t="s">
        <v>41</v>
      </c>
      <c r="E172" t="s">
        <v>42</v>
      </c>
      <c r="F172" t="s">
        <v>33</v>
      </c>
      <c r="G172" s="4">
        <v>10948</v>
      </c>
      <c r="H172" t="s">
        <v>15</v>
      </c>
      <c r="I172">
        <v>15000</v>
      </c>
      <c r="J172" s="4">
        <f t="shared" si="5"/>
        <v>0</v>
      </c>
    </row>
    <row r="173" spans="1:10" x14ac:dyDescent="0.25">
      <c r="A173" s="1">
        <v>44470</v>
      </c>
      <c r="B173" t="s">
        <v>40</v>
      </c>
      <c r="C173" t="str">
        <f t="shared" si="4"/>
        <v>Jonah Seitz</v>
      </c>
      <c r="D173" t="s">
        <v>41</v>
      </c>
      <c r="E173" t="s">
        <v>42</v>
      </c>
      <c r="F173" t="s">
        <v>33</v>
      </c>
      <c r="G173" s="4">
        <v>10988.800000000001</v>
      </c>
      <c r="H173" t="s">
        <v>11</v>
      </c>
      <c r="I173">
        <v>15000</v>
      </c>
      <c r="J173" s="4">
        <f t="shared" si="5"/>
        <v>0</v>
      </c>
    </row>
    <row r="174" spans="1:10" x14ac:dyDescent="0.25">
      <c r="A174" s="1">
        <v>44470</v>
      </c>
      <c r="B174" t="s">
        <v>40</v>
      </c>
      <c r="C174" t="str">
        <f t="shared" si="4"/>
        <v>Jonah Seitz</v>
      </c>
      <c r="D174" t="s">
        <v>41</v>
      </c>
      <c r="E174" t="s">
        <v>42</v>
      </c>
      <c r="F174" t="s">
        <v>33</v>
      </c>
      <c r="G174" s="4">
        <v>12306.6</v>
      </c>
      <c r="H174" t="s">
        <v>15</v>
      </c>
      <c r="I174">
        <v>15000</v>
      </c>
      <c r="J174" s="4">
        <f t="shared" si="5"/>
        <v>0</v>
      </c>
    </row>
    <row r="175" spans="1:10" x14ac:dyDescent="0.25">
      <c r="A175" s="1">
        <v>44470</v>
      </c>
      <c r="B175" t="s">
        <v>40</v>
      </c>
      <c r="C175" t="str">
        <f t="shared" si="4"/>
        <v>Jonah Seitz</v>
      </c>
      <c r="D175" t="s">
        <v>41</v>
      </c>
      <c r="E175" t="s">
        <v>42</v>
      </c>
      <c r="F175" t="s">
        <v>33</v>
      </c>
      <c r="G175" s="4">
        <v>16077</v>
      </c>
      <c r="H175" t="s">
        <v>15</v>
      </c>
      <c r="I175">
        <v>15000</v>
      </c>
      <c r="J175" s="4">
        <f t="shared" si="5"/>
        <v>1607.7</v>
      </c>
    </row>
    <row r="176" spans="1:10" x14ac:dyDescent="0.25">
      <c r="A176" s="1">
        <v>44470</v>
      </c>
      <c r="B176" t="s">
        <v>59</v>
      </c>
      <c r="C176" t="str">
        <f t="shared" si="4"/>
        <v>David Wilkinson</v>
      </c>
      <c r="D176" t="s">
        <v>60</v>
      </c>
      <c r="E176" t="s">
        <v>61</v>
      </c>
      <c r="F176" t="s">
        <v>33</v>
      </c>
      <c r="G176" s="4">
        <v>19594</v>
      </c>
      <c r="H176" t="s">
        <v>15</v>
      </c>
      <c r="I176">
        <v>15000</v>
      </c>
      <c r="J176" s="4">
        <f t="shared" si="5"/>
        <v>1959.4</v>
      </c>
    </row>
    <row r="177" spans="1:10" x14ac:dyDescent="0.25">
      <c r="A177" s="1">
        <v>44470</v>
      </c>
      <c r="B177" t="s">
        <v>30</v>
      </c>
      <c r="C177" t="str">
        <f t="shared" si="4"/>
        <v>Chloe Fusaro</v>
      </c>
      <c r="D177" t="s">
        <v>31</v>
      </c>
      <c r="E177" t="s">
        <v>32</v>
      </c>
      <c r="F177" t="s">
        <v>33</v>
      </c>
      <c r="G177" s="4">
        <v>19946.199999999997</v>
      </c>
      <c r="H177" t="s">
        <v>43</v>
      </c>
      <c r="I177">
        <v>15000</v>
      </c>
      <c r="J177" s="4">
        <f t="shared" si="5"/>
        <v>1994.62</v>
      </c>
    </row>
    <row r="178" spans="1:10" x14ac:dyDescent="0.25">
      <c r="A178" s="1">
        <v>44470</v>
      </c>
      <c r="B178" t="s">
        <v>71</v>
      </c>
      <c r="C178" t="str">
        <f t="shared" si="4"/>
        <v>Sarah Gibbs</v>
      </c>
      <c r="D178" t="s">
        <v>72</v>
      </c>
      <c r="E178" t="s">
        <v>73</v>
      </c>
      <c r="F178" t="s">
        <v>33</v>
      </c>
      <c r="G178" s="4">
        <v>26773.4</v>
      </c>
      <c r="H178" t="s">
        <v>43</v>
      </c>
      <c r="I178">
        <v>15000</v>
      </c>
      <c r="J178" s="4">
        <f t="shared" si="5"/>
        <v>2677.34</v>
      </c>
    </row>
    <row r="179" spans="1:10" x14ac:dyDescent="0.25">
      <c r="A179" s="1">
        <v>44470</v>
      </c>
      <c r="B179" t="s">
        <v>40</v>
      </c>
      <c r="C179" t="str">
        <f t="shared" si="4"/>
        <v>Jonah Seitz</v>
      </c>
      <c r="D179" t="s">
        <v>41</v>
      </c>
      <c r="E179" t="s">
        <v>42</v>
      </c>
      <c r="F179" t="s">
        <v>33</v>
      </c>
      <c r="G179" s="4">
        <v>28464.9</v>
      </c>
      <c r="H179" t="s">
        <v>43</v>
      </c>
      <c r="I179">
        <v>15000</v>
      </c>
      <c r="J179" s="4">
        <f t="shared" si="5"/>
        <v>2846.4900000000002</v>
      </c>
    </row>
    <row r="180" spans="1:10" x14ac:dyDescent="0.25">
      <c r="A180" s="1">
        <v>44470</v>
      </c>
      <c r="B180" t="s">
        <v>62</v>
      </c>
      <c r="C180" t="str">
        <f t="shared" si="4"/>
        <v>Charlotte Edwards</v>
      </c>
      <c r="D180" t="s">
        <v>63</v>
      </c>
      <c r="E180" t="s">
        <v>64</v>
      </c>
      <c r="F180" t="s">
        <v>33</v>
      </c>
      <c r="G180" s="4">
        <v>37544.800000000003</v>
      </c>
      <c r="H180" t="s">
        <v>11</v>
      </c>
      <c r="I180">
        <v>15000</v>
      </c>
      <c r="J180" s="4">
        <f t="shared" si="5"/>
        <v>3754.4800000000005</v>
      </c>
    </row>
    <row r="181" spans="1:10" x14ac:dyDescent="0.25">
      <c r="A181" s="1">
        <v>44470</v>
      </c>
      <c r="B181" t="s">
        <v>40</v>
      </c>
      <c r="C181" t="str">
        <f t="shared" si="4"/>
        <v>Jonah Seitz</v>
      </c>
      <c r="D181" t="s">
        <v>41</v>
      </c>
      <c r="E181" t="s">
        <v>42</v>
      </c>
      <c r="F181" t="s">
        <v>33</v>
      </c>
      <c r="G181" s="4">
        <v>40224.800000000003</v>
      </c>
      <c r="H181" t="s">
        <v>11</v>
      </c>
      <c r="I181">
        <v>15000</v>
      </c>
      <c r="J181" s="4">
        <f t="shared" si="5"/>
        <v>4022.4800000000005</v>
      </c>
    </row>
    <row r="182" spans="1:10" x14ac:dyDescent="0.25">
      <c r="A182" s="1">
        <v>44470</v>
      </c>
      <c r="B182" t="s">
        <v>59</v>
      </c>
      <c r="C182" t="str">
        <f t="shared" si="4"/>
        <v>David Wilkinson</v>
      </c>
      <c r="D182" t="s">
        <v>60</v>
      </c>
      <c r="E182" t="s">
        <v>61</v>
      </c>
      <c r="F182" t="s">
        <v>33</v>
      </c>
      <c r="G182" s="4">
        <v>43591.8</v>
      </c>
      <c r="H182" t="s">
        <v>11</v>
      </c>
      <c r="I182">
        <v>15000</v>
      </c>
      <c r="J182" s="4">
        <f t="shared" si="5"/>
        <v>4359.18</v>
      </c>
    </row>
    <row r="183" spans="1:10" x14ac:dyDescent="0.25">
      <c r="A183" s="1">
        <v>44501</v>
      </c>
      <c r="B183" t="s">
        <v>71</v>
      </c>
      <c r="C183" t="str">
        <f t="shared" si="4"/>
        <v>Sarah Gibbs</v>
      </c>
      <c r="D183" t="s">
        <v>72</v>
      </c>
      <c r="E183" t="s">
        <v>73</v>
      </c>
      <c r="F183" t="s">
        <v>33</v>
      </c>
      <c r="G183" s="4">
        <v>9292.5</v>
      </c>
      <c r="H183" t="s">
        <v>15</v>
      </c>
      <c r="I183">
        <v>15000</v>
      </c>
      <c r="J183" s="4">
        <f t="shared" si="5"/>
        <v>0</v>
      </c>
    </row>
    <row r="184" spans="1:10" x14ac:dyDescent="0.25">
      <c r="A184" s="1">
        <v>44501</v>
      </c>
      <c r="B184" t="s">
        <v>59</v>
      </c>
      <c r="C184" t="str">
        <f t="shared" si="4"/>
        <v>David Wilkinson</v>
      </c>
      <c r="D184" t="s">
        <v>60</v>
      </c>
      <c r="E184" t="s">
        <v>61</v>
      </c>
      <c r="F184" t="s">
        <v>33</v>
      </c>
      <c r="G184" s="4">
        <v>28761.599999999999</v>
      </c>
      <c r="H184" t="s">
        <v>43</v>
      </c>
      <c r="I184">
        <v>15000</v>
      </c>
      <c r="J184" s="4">
        <f t="shared" si="5"/>
        <v>2876.16</v>
      </c>
    </row>
    <row r="185" spans="1:10" x14ac:dyDescent="0.25">
      <c r="A185" s="1">
        <v>44501</v>
      </c>
      <c r="B185" t="s">
        <v>40</v>
      </c>
      <c r="C185" t="str">
        <f t="shared" si="4"/>
        <v>Jonah Seitz</v>
      </c>
      <c r="D185" t="s">
        <v>41</v>
      </c>
      <c r="E185" t="s">
        <v>42</v>
      </c>
      <c r="F185" t="s">
        <v>33</v>
      </c>
      <c r="G185" s="4">
        <v>41932.799999999996</v>
      </c>
      <c r="H185" t="s">
        <v>11</v>
      </c>
      <c r="I185">
        <v>15000</v>
      </c>
      <c r="J185" s="4">
        <f t="shared" si="5"/>
        <v>4193.28</v>
      </c>
    </row>
    <row r="186" spans="1:10" x14ac:dyDescent="0.25">
      <c r="A186" s="1">
        <v>44501</v>
      </c>
      <c r="B186" t="s">
        <v>30</v>
      </c>
      <c r="C186" t="str">
        <f t="shared" si="4"/>
        <v>Chloe Fusaro</v>
      </c>
      <c r="D186" t="s">
        <v>31</v>
      </c>
      <c r="E186" t="s">
        <v>32</v>
      </c>
      <c r="F186" t="s">
        <v>33</v>
      </c>
      <c r="G186" s="4">
        <v>42427</v>
      </c>
      <c r="H186" t="s">
        <v>15</v>
      </c>
      <c r="I186">
        <v>15000</v>
      </c>
      <c r="J186" s="4">
        <f t="shared" si="5"/>
        <v>4242.7</v>
      </c>
    </row>
    <row r="187" spans="1:10" x14ac:dyDescent="0.25">
      <c r="A187" s="1">
        <v>44501</v>
      </c>
      <c r="B187" t="s">
        <v>71</v>
      </c>
      <c r="C187" t="str">
        <f t="shared" si="4"/>
        <v>Sarah Gibbs</v>
      </c>
      <c r="D187" t="s">
        <v>72</v>
      </c>
      <c r="E187" t="s">
        <v>73</v>
      </c>
      <c r="F187" t="s">
        <v>33</v>
      </c>
      <c r="G187" s="4">
        <v>47510.400000000001</v>
      </c>
      <c r="H187" t="s">
        <v>15</v>
      </c>
      <c r="I187">
        <v>15000</v>
      </c>
      <c r="J187" s="4">
        <f t="shared" si="5"/>
        <v>4751.04</v>
      </c>
    </row>
    <row r="188" spans="1:10" x14ac:dyDescent="0.25">
      <c r="A188" s="1">
        <v>44531</v>
      </c>
      <c r="B188" t="s">
        <v>59</v>
      </c>
      <c r="C188" t="str">
        <f t="shared" si="4"/>
        <v>David Wilkinson</v>
      </c>
      <c r="D188" t="s">
        <v>60</v>
      </c>
      <c r="E188" t="s">
        <v>61</v>
      </c>
      <c r="F188" t="s">
        <v>33</v>
      </c>
      <c r="G188" s="4">
        <v>7721.5999999999995</v>
      </c>
      <c r="H188" t="s">
        <v>11</v>
      </c>
      <c r="I188">
        <v>15000</v>
      </c>
      <c r="J188" s="4">
        <f t="shared" si="5"/>
        <v>0</v>
      </c>
    </row>
    <row r="189" spans="1:10" x14ac:dyDescent="0.25">
      <c r="A189" s="1">
        <v>44531</v>
      </c>
      <c r="B189" t="s">
        <v>40</v>
      </c>
      <c r="C189" t="str">
        <f t="shared" si="4"/>
        <v>Jonah Seitz</v>
      </c>
      <c r="D189" t="s">
        <v>41</v>
      </c>
      <c r="E189" t="s">
        <v>42</v>
      </c>
      <c r="F189" t="s">
        <v>33</v>
      </c>
      <c r="G189" s="4">
        <v>8925.7000000000007</v>
      </c>
      <c r="H189" t="s">
        <v>11</v>
      </c>
      <c r="I189">
        <v>15000</v>
      </c>
      <c r="J189" s="4">
        <f t="shared" si="5"/>
        <v>0</v>
      </c>
    </row>
    <row r="190" spans="1:10" x14ac:dyDescent="0.25">
      <c r="A190" s="1">
        <v>44531</v>
      </c>
      <c r="B190" t="s">
        <v>40</v>
      </c>
      <c r="C190" t="str">
        <f t="shared" si="4"/>
        <v>Jonah Seitz</v>
      </c>
      <c r="D190" t="s">
        <v>41</v>
      </c>
      <c r="E190" t="s">
        <v>42</v>
      </c>
      <c r="F190" t="s">
        <v>33</v>
      </c>
      <c r="G190" s="4">
        <v>15802.6</v>
      </c>
      <c r="H190" t="s">
        <v>43</v>
      </c>
      <c r="I190">
        <v>15000</v>
      </c>
      <c r="J190" s="4">
        <f t="shared" si="5"/>
        <v>1580.2600000000002</v>
      </c>
    </row>
    <row r="191" spans="1:10" x14ac:dyDescent="0.25">
      <c r="A191" s="1">
        <v>44531</v>
      </c>
      <c r="B191" t="s">
        <v>71</v>
      </c>
      <c r="C191" t="str">
        <f t="shared" si="4"/>
        <v>Sarah Gibbs</v>
      </c>
      <c r="D191" t="s">
        <v>72</v>
      </c>
      <c r="E191" t="s">
        <v>73</v>
      </c>
      <c r="F191" t="s">
        <v>33</v>
      </c>
      <c r="G191" s="4">
        <v>21103.3</v>
      </c>
      <c r="H191" t="s">
        <v>43</v>
      </c>
      <c r="I191">
        <v>15000</v>
      </c>
      <c r="J191" s="4">
        <f t="shared" si="5"/>
        <v>2110.33</v>
      </c>
    </row>
    <row r="192" spans="1:10" x14ac:dyDescent="0.25">
      <c r="A192" s="1">
        <v>44531</v>
      </c>
      <c r="B192" t="s">
        <v>71</v>
      </c>
      <c r="C192" t="str">
        <f t="shared" si="4"/>
        <v>Sarah Gibbs</v>
      </c>
      <c r="D192" t="s">
        <v>72</v>
      </c>
      <c r="E192" t="s">
        <v>73</v>
      </c>
      <c r="F192" t="s">
        <v>33</v>
      </c>
      <c r="G192" s="4">
        <v>22351.100000000002</v>
      </c>
      <c r="H192" t="s">
        <v>43</v>
      </c>
      <c r="I192">
        <v>15000</v>
      </c>
      <c r="J192" s="4">
        <f t="shared" si="5"/>
        <v>2235.11</v>
      </c>
    </row>
    <row r="193" spans="1:10" x14ac:dyDescent="0.25">
      <c r="A193" s="1">
        <v>44531</v>
      </c>
      <c r="B193" t="s">
        <v>40</v>
      </c>
      <c r="C193" t="str">
        <f t="shared" si="4"/>
        <v>Jonah Seitz</v>
      </c>
      <c r="D193" t="s">
        <v>41</v>
      </c>
      <c r="E193" t="s">
        <v>42</v>
      </c>
      <c r="F193" t="s">
        <v>33</v>
      </c>
      <c r="G193" s="4">
        <v>43974</v>
      </c>
      <c r="H193" t="s">
        <v>11</v>
      </c>
      <c r="I193">
        <v>15000</v>
      </c>
      <c r="J193" s="4">
        <f t="shared" si="5"/>
        <v>4397.4000000000005</v>
      </c>
    </row>
    <row r="194" spans="1:10" x14ac:dyDescent="0.25">
      <c r="A194" s="1">
        <v>44197</v>
      </c>
      <c r="B194" t="s">
        <v>23</v>
      </c>
      <c r="C194" t="str">
        <f t="shared" si="4"/>
        <v>Olivia Cheung</v>
      </c>
      <c r="D194" t="s">
        <v>24</v>
      </c>
      <c r="E194" t="s">
        <v>25</v>
      </c>
      <c r="F194" t="s">
        <v>26</v>
      </c>
      <c r="G194" s="4">
        <v>3008.3999999999996</v>
      </c>
      <c r="H194" t="s">
        <v>15</v>
      </c>
      <c r="I194">
        <v>15000</v>
      </c>
      <c r="J194" s="4">
        <f t="shared" si="5"/>
        <v>0</v>
      </c>
    </row>
    <row r="195" spans="1:10" x14ac:dyDescent="0.25">
      <c r="A195" s="1">
        <v>44197</v>
      </c>
      <c r="B195" t="s">
        <v>50</v>
      </c>
      <c r="C195" t="str">
        <f t="shared" ref="C195:C258" si="6">TRIM(B195)</f>
        <v>Jason Jackaki</v>
      </c>
      <c r="D195" t="s">
        <v>51</v>
      </c>
      <c r="E195" t="s">
        <v>52</v>
      </c>
      <c r="F195" t="s">
        <v>26</v>
      </c>
      <c r="G195" s="4">
        <v>7221.5999999999995</v>
      </c>
      <c r="H195" t="s">
        <v>43</v>
      </c>
      <c r="I195">
        <v>15000</v>
      </c>
      <c r="J195" s="4">
        <f t="shared" ref="J195:J258" si="7">IF(G195&gt;=I195,G195*$L$2,0)</f>
        <v>0</v>
      </c>
    </row>
    <row r="196" spans="1:10" x14ac:dyDescent="0.25">
      <c r="A196" s="1">
        <v>44197</v>
      </c>
      <c r="B196" t="s">
        <v>23</v>
      </c>
      <c r="C196" t="str">
        <f t="shared" si="6"/>
        <v>Olivia Cheung</v>
      </c>
      <c r="D196" t="s">
        <v>24</v>
      </c>
      <c r="E196" t="s">
        <v>25</v>
      </c>
      <c r="F196" t="s">
        <v>26</v>
      </c>
      <c r="G196" s="4">
        <v>10903.199999999999</v>
      </c>
      <c r="H196" t="s">
        <v>15</v>
      </c>
      <c r="I196">
        <v>15000</v>
      </c>
      <c r="J196" s="4">
        <f t="shared" si="7"/>
        <v>0</v>
      </c>
    </row>
    <row r="197" spans="1:10" x14ac:dyDescent="0.25">
      <c r="A197" s="1">
        <v>44197</v>
      </c>
      <c r="B197" t="s">
        <v>34</v>
      </c>
      <c r="C197" t="str">
        <f t="shared" si="6"/>
        <v>Annabel Mettick</v>
      </c>
      <c r="D197" t="s">
        <v>35</v>
      </c>
      <c r="E197" t="s">
        <v>36</v>
      </c>
      <c r="F197" t="s">
        <v>26</v>
      </c>
      <c r="G197" s="4">
        <v>14616</v>
      </c>
      <c r="H197" t="s">
        <v>15</v>
      </c>
      <c r="I197">
        <v>15000</v>
      </c>
      <c r="J197" s="4">
        <f t="shared" si="7"/>
        <v>0</v>
      </c>
    </row>
    <row r="198" spans="1:10" x14ac:dyDescent="0.25">
      <c r="A198" s="1">
        <v>44197</v>
      </c>
      <c r="B198" t="s">
        <v>47</v>
      </c>
      <c r="C198" t="str">
        <f t="shared" si="6"/>
        <v>Emily Whelan</v>
      </c>
      <c r="D198" t="s">
        <v>48</v>
      </c>
      <c r="E198" t="s">
        <v>49</v>
      </c>
      <c r="F198" t="s">
        <v>26</v>
      </c>
      <c r="G198" s="4">
        <v>18885.900000000001</v>
      </c>
      <c r="H198" t="s">
        <v>43</v>
      </c>
      <c r="I198">
        <v>15000</v>
      </c>
      <c r="J198" s="4">
        <f t="shared" si="7"/>
        <v>1888.5900000000001</v>
      </c>
    </row>
    <row r="199" spans="1:10" x14ac:dyDescent="0.25">
      <c r="A199" s="1">
        <v>44197</v>
      </c>
      <c r="B199" t="s">
        <v>47</v>
      </c>
      <c r="C199" t="str">
        <f t="shared" si="6"/>
        <v>Emily Whelan</v>
      </c>
      <c r="D199" t="s">
        <v>48</v>
      </c>
      <c r="E199" t="s">
        <v>49</v>
      </c>
      <c r="F199" t="s">
        <v>26</v>
      </c>
      <c r="G199" s="4">
        <v>24236</v>
      </c>
      <c r="H199" t="s">
        <v>11</v>
      </c>
      <c r="I199">
        <v>15000</v>
      </c>
      <c r="J199" s="4">
        <f t="shared" si="7"/>
        <v>2423.6</v>
      </c>
    </row>
    <row r="200" spans="1:10" x14ac:dyDescent="0.25">
      <c r="A200" s="1">
        <v>44228</v>
      </c>
      <c r="B200" t="s">
        <v>34</v>
      </c>
      <c r="C200" t="str">
        <f t="shared" si="6"/>
        <v>Annabel Mettick</v>
      </c>
      <c r="D200" t="s">
        <v>35</v>
      </c>
      <c r="E200" t="s">
        <v>36</v>
      </c>
      <c r="F200" t="s">
        <v>26</v>
      </c>
      <c r="G200" s="4">
        <v>3596</v>
      </c>
      <c r="H200" t="s">
        <v>15</v>
      </c>
      <c r="I200">
        <v>15000</v>
      </c>
      <c r="J200" s="4">
        <f t="shared" si="7"/>
        <v>0</v>
      </c>
    </row>
    <row r="201" spans="1:10" x14ac:dyDescent="0.25">
      <c r="A201" s="1">
        <v>44228</v>
      </c>
      <c r="B201" t="s">
        <v>56</v>
      </c>
      <c r="C201" t="str">
        <f t="shared" si="6"/>
        <v>Cory Goodwin</v>
      </c>
      <c r="D201" t="s">
        <v>57</v>
      </c>
      <c r="E201" t="s">
        <v>58</v>
      </c>
      <c r="F201" t="s">
        <v>26</v>
      </c>
      <c r="G201" s="4">
        <v>6300</v>
      </c>
      <c r="H201" t="s">
        <v>43</v>
      </c>
      <c r="I201">
        <v>15000</v>
      </c>
      <c r="J201" s="4">
        <f t="shared" si="7"/>
        <v>0</v>
      </c>
    </row>
    <row r="202" spans="1:10" x14ac:dyDescent="0.25">
      <c r="A202" s="1">
        <v>44228</v>
      </c>
      <c r="B202" t="s">
        <v>34</v>
      </c>
      <c r="C202" t="str">
        <f t="shared" si="6"/>
        <v>Annabel Mettick</v>
      </c>
      <c r="D202" t="s">
        <v>35</v>
      </c>
      <c r="E202" t="s">
        <v>36</v>
      </c>
      <c r="F202" t="s">
        <v>26</v>
      </c>
      <c r="G202" s="4">
        <v>6804</v>
      </c>
      <c r="H202" t="s">
        <v>11</v>
      </c>
      <c r="I202">
        <v>15000</v>
      </c>
      <c r="J202" s="4">
        <f t="shared" si="7"/>
        <v>0</v>
      </c>
    </row>
    <row r="203" spans="1:10" x14ac:dyDescent="0.25">
      <c r="A203" s="1">
        <v>44228</v>
      </c>
      <c r="B203" t="s">
        <v>50</v>
      </c>
      <c r="C203" t="str">
        <f t="shared" si="6"/>
        <v>Jason Jackaki</v>
      </c>
      <c r="D203" t="s">
        <v>51</v>
      </c>
      <c r="E203" t="s">
        <v>52</v>
      </c>
      <c r="F203" t="s">
        <v>26</v>
      </c>
      <c r="G203" s="4">
        <v>8524.4000000000015</v>
      </c>
      <c r="H203" t="s">
        <v>43</v>
      </c>
      <c r="I203">
        <v>15000</v>
      </c>
      <c r="J203" s="4">
        <f t="shared" si="7"/>
        <v>0</v>
      </c>
    </row>
    <row r="204" spans="1:10" x14ac:dyDescent="0.25">
      <c r="A204" s="1">
        <v>44228</v>
      </c>
      <c r="B204" t="s">
        <v>34</v>
      </c>
      <c r="C204" t="str">
        <f t="shared" si="6"/>
        <v>Annabel Mettick</v>
      </c>
      <c r="D204" t="s">
        <v>35</v>
      </c>
      <c r="E204" t="s">
        <v>36</v>
      </c>
      <c r="F204" t="s">
        <v>26</v>
      </c>
      <c r="G204" s="4">
        <v>8772</v>
      </c>
      <c r="H204" t="s">
        <v>43</v>
      </c>
      <c r="I204">
        <v>15000</v>
      </c>
      <c r="J204" s="4">
        <f t="shared" si="7"/>
        <v>0</v>
      </c>
    </row>
    <row r="205" spans="1:10" x14ac:dyDescent="0.25">
      <c r="A205" s="1">
        <v>44228</v>
      </c>
      <c r="B205" t="s">
        <v>34</v>
      </c>
      <c r="C205" t="str">
        <f t="shared" si="6"/>
        <v>Annabel Mettick</v>
      </c>
      <c r="D205" t="s">
        <v>35</v>
      </c>
      <c r="E205" t="s">
        <v>36</v>
      </c>
      <c r="F205" t="s">
        <v>26</v>
      </c>
      <c r="G205" s="4">
        <v>17328.300000000003</v>
      </c>
      <c r="H205" t="s">
        <v>43</v>
      </c>
      <c r="I205">
        <v>15000</v>
      </c>
      <c r="J205" s="4">
        <f t="shared" si="7"/>
        <v>1732.8300000000004</v>
      </c>
    </row>
    <row r="206" spans="1:10" x14ac:dyDescent="0.25">
      <c r="A206" s="1">
        <v>44228</v>
      </c>
      <c r="B206" t="s">
        <v>56</v>
      </c>
      <c r="C206" t="str">
        <f t="shared" si="6"/>
        <v>Cory Goodwin</v>
      </c>
      <c r="D206" t="s">
        <v>57</v>
      </c>
      <c r="E206" t="s">
        <v>58</v>
      </c>
      <c r="F206" t="s">
        <v>26</v>
      </c>
      <c r="G206" s="4">
        <v>21438.899999999998</v>
      </c>
      <c r="H206" t="s">
        <v>11</v>
      </c>
      <c r="I206">
        <v>15000</v>
      </c>
      <c r="J206" s="4">
        <f t="shared" si="7"/>
        <v>2143.89</v>
      </c>
    </row>
    <row r="207" spans="1:10" x14ac:dyDescent="0.25">
      <c r="A207" s="1">
        <v>44228</v>
      </c>
      <c r="B207" t="s">
        <v>50</v>
      </c>
      <c r="C207" t="str">
        <f t="shared" si="6"/>
        <v>Jason Jackaki</v>
      </c>
      <c r="D207" t="s">
        <v>51</v>
      </c>
      <c r="E207" t="s">
        <v>52</v>
      </c>
      <c r="F207" t="s">
        <v>26</v>
      </c>
      <c r="G207" s="4">
        <v>26556.799999999999</v>
      </c>
      <c r="H207" t="s">
        <v>15</v>
      </c>
      <c r="I207">
        <v>15000</v>
      </c>
      <c r="J207" s="4">
        <f t="shared" si="7"/>
        <v>2655.6800000000003</v>
      </c>
    </row>
    <row r="208" spans="1:10" x14ac:dyDescent="0.25">
      <c r="A208" s="1">
        <v>44228</v>
      </c>
      <c r="B208" t="s">
        <v>50</v>
      </c>
      <c r="C208" t="str">
        <f t="shared" si="6"/>
        <v>Jason Jackaki</v>
      </c>
      <c r="D208" t="s">
        <v>51</v>
      </c>
      <c r="E208" t="s">
        <v>52</v>
      </c>
      <c r="F208" t="s">
        <v>26</v>
      </c>
      <c r="G208" s="4">
        <v>33132.600000000006</v>
      </c>
      <c r="H208" t="s">
        <v>43</v>
      </c>
      <c r="I208">
        <v>15000</v>
      </c>
      <c r="J208" s="4">
        <f t="shared" si="7"/>
        <v>3313.2600000000007</v>
      </c>
    </row>
    <row r="209" spans="1:10" x14ac:dyDescent="0.25">
      <c r="A209" s="1">
        <v>44256</v>
      </c>
      <c r="B209" t="s">
        <v>34</v>
      </c>
      <c r="C209" t="str">
        <f t="shared" si="6"/>
        <v>Annabel Mettick</v>
      </c>
      <c r="D209" t="s">
        <v>35</v>
      </c>
      <c r="E209" t="s">
        <v>36</v>
      </c>
      <c r="F209" t="s">
        <v>26</v>
      </c>
      <c r="G209" s="4">
        <v>6544.8</v>
      </c>
      <c r="H209" t="s">
        <v>11</v>
      </c>
      <c r="I209">
        <v>15000</v>
      </c>
      <c r="J209" s="4">
        <f t="shared" si="7"/>
        <v>0</v>
      </c>
    </row>
    <row r="210" spans="1:10" x14ac:dyDescent="0.25">
      <c r="A210" s="1">
        <v>44256</v>
      </c>
      <c r="B210" t="s">
        <v>50</v>
      </c>
      <c r="C210" t="str">
        <f t="shared" si="6"/>
        <v>Jason Jackaki</v>
      </c>
      <c r="D210" t="s">
        <v>51</v>
      </c>
      <c r="E210" t="s">
        <v>52</v>
      </c>
      <c r="F210" t="s">
        <v>26</v>
      </c>
      <c r="G210" s="4">
        <v>11166.300000000001</v>
      </c>
      <c r="H210" t="s">
        <v>15</v>
      </c>
      <c r="I210">
        <v>15000</v>
      </c>
      <c r="J210" s="4">
        <f t="shared" si="7"/>
        <v>0</v>
      </c>
    </row>
    <row r="211" spans="1:10" x14ac:dyDescent="0.25">
      <c r="A211" s="1">
        <v>44256</v>
      </c>
      <c r="B211" t="s">
        <v>34</v>
      </c>
      <c r="C211" t="str">
        <f t="shared" si="6"/>
        <v>Annabel Mettick</v>
      </c>
      <c r="D211" t="s">
        <v>35</v>
      </c>
      <c r="E211" t="s">
        <v>36</v>
      </c>
      <c r="F211" t="s">
        <v>26</v>
      </c>
      <c r="G211" s="4">
        <v>11403</v>
      </c>
      <c r="H211" t="s">
        <v>15</v>
      </c>
      <c r="I211">
        <v>15000</v>
      </c>
      <c r="J211" s="4">
        <f t="shared" si="7"/>
        <v>0</v>
      </c>
    </row>
    <row r="212" spans="1:10" x14ac:dyDescent="0.25">
      <c r="A212" s="1">
        <v>44256</v>
      </c>
      <c r="B212" t="s">
        <v>34</v>
      </c>
      <c r="C212" t="str">
        <f t="shared" si="6"/>
        <v>Annabel Mettick</v>
      </c>
      <c r="D212" t="s">
        <v>35</v>
      </c>
      <c r="E212" t="s">
        <v>36</v>
      </c>
      <c r="F212" t="s">
        <v>26</v>
      </c>
      <c r="G212" s="4">
        <v>11554.400000000001</v>
      </c>
      <c r="H212" t="s">
        <v>15</v>
      </c>
      <c r="I212">
        <v>15000</v>
      </c>
      <c r="J212" s="4">
        <f t="shared" si="7"/>
        <v>0</v>
      </c>
    </row>
    <row r="213" spans="1:10" x14ac:dyDescent="0.25">
      <c r="A213" s="1">
        <v>44256</v>
      </c>
      <c r="B213" t="s">
        <v>23</v>
      </c>
      <c r="C213" t="str">
        <f t="shared" si="6"/>
        <v>Olivia Cheung</v>
      </c>
      <c r="D213" t="s">
        <v>24</v>
      </c>
      <c r="E213" t="s">
        <v>25</v>
      </c>
      <c r="F213" t="s">
        <v>26</v>
      </c>
      <c r="G213" s="4">
        <v>12143.999999999998</v>
      </c>
      <c r="H213" t="s">
        <v>15</v>
      </c>
      <c r="I213">
        <v>15000</v>
      </c>
      <c r="J213" s="4">
        <f t="shared" si="7"/>
        <v>0</v>
      </c>
    </row>
    <row r="214" spans="1:10" x14ac:dyDescent="0.25">
      <c r="A214" s="1">
        <v>44256</v>
      </c>
      <c r="B214" t="s">
        <v>23</v>
      </c>
      <c r="C214" t="str">
        <f t="shared" si="6"/>
        <v>Olivia Cheung</v>
      </c>
      <c r="D214" t="s">
        <v>24</v>
      </c>
      <c r="E214" t="s">
        <v>25</v>
      </c>
      <c r="F214" t="s">
        <v>26</v>
      </c>
      <c r="G214" s="4">
        <v>13244.7</v>
      </c>
      <c r="H214" t="s">
        <v>11</v>
      </c>
      <c r="I214">
        <v>15000</v>
      </c>
      <c r="J214" s="4">
        <f t="shared" si="7"/>
        <v>0</v>
      </c>
    </row>
    <row r="215" spans="1:10" x14ac:dyDescent="0.25">
      <c r="A215" s="1">
        <v>44256</v>
      </c>
      <c r="B215" t="s">
        <v>47</v>
      </c>
      <c r="C215" t="str">
        <f t="shared" si="6"/>
        <v>Emily Whelan</v>
      </c>
      <c r="D215" t="s">
        <v>48</v>
      </c>
      <c r="E215" t="s">
        <v>49</v>
      </c>
      <c r="F215" t="s">
        <v>26</v>
      </c>
      <c r="G215" s="4">
        <v>23014.400000000001</v>
      </c>
      <c r="H215" t="s">
        <v>11</v>
      </c>
      <c r="I215">
        <v>15000</v>
      </c>
      <c r="J215" s="4">
        <f t="shared" si="7"/>
        <v>2301.44</v>
      </c>
    </row>
    <row r="216" spans="1:10" x14ac:dyDescent="0.25">
      <c r="A216" s="1">
        <v>44256</v>
      </c>
      <c r="B216" t="s">
        <v>23</v>
      </c>
      <c r="C216" t="str">
        <f t="shared" si="6"/>
        <v>Olivia Cheung</v>
      </c>
      <c r="D216" t="s">
        <v>24</v>
      </c>
      <c r="E216" t="s">
        <v>25</v>
      </c>
      <c r="F216" t="s">
        <v>26</v>
      </c>
      <c r="G216" s="4">
        <v>26200</v>
      </c>
      <c r="H216" t="s">
        <v>15</v>
      </c>
      <c r="I216">
        <v>15000</v>
      </c>
      <c r="J216" s="4">
        <f t="shared" si="7"/>
        <v>2620</v>
      </c>
    </row>
    <row r="217" spans="1:10" x14ac:dyDescent="0.25">
      <c r="A217" s="1">
        <v>44256</v>
      </c>
      <c r="B217" t="s">
        <v>50</v>
      </c>
      <c r="C217" t="str">
        <f t="shared" si="6"/>
        <v>Jason Jackaki</v>
      </c>
      <c r="D217" t="s">
        <v>51</v>
      </c>
      <c r="E217" t="s">
        <v>52</v>
      </c>
      <c r="F217" t="s">
        <v>26</v>
      </c>
      <c r="G217" s="4">
        <v>28286.399999999998</v>
      </c>
      <c r="H217" t="s">
        <v>11</v>
      </c>
      <c r="I217">
        <v>15000</v>
      </c>
      <c r="J217" s="4">
        <f t="shared" si="7"/>
        <v>2828.64</v>
      </c>
    </row>
    <row r="218" spans="1:10" x14ac:dyDescent="0.25">
      <c r="A218" s="1">
        <v>44256</v>
      </c>
      <c r="B218" t="s">
        <v>23</v>
      </c>
      <c r="C218" t="str">
        <f t="shared" si="6"/>
        <v>Olivia Cheung</v>
      </c>
      <c r="D218" t="s">
        <v>24</v>
      </c>
      <c r="E218" t="s">
        <v>25</v>
      </c>
      <c r="F218" t="s">
        <v>26</v>
      </c>
      <c r="G218" s="4">
        <v>35715.4</v>
      </c>
      <c r="H218" t="s">
        <v>15</v>
      </c>
      <c r="I218">
        <v>15000</v>
      </c>
      <c r="J218" s="4">
        <f t="shared" si="7"/>
        <v>3571.5400000000004</v>
      </c>
    </row>
    <row r="219" spans="1:10" x14ac:dyDescent="0.25">
      <c r="A219" s="1">
        <v>44287</v>
      </c>
      <c r="B219" t="s">
        <v>56</v>
      </c>
      <c r="C219" t="str">
        <f t="shared" si="6"/>
        <v>Cory Goodwin</v>
      </c>
      <c r="D219" t="s">
        <v>57</v>
      </c>
      <c r="E219" t="s">
        <v>58</v>
      </c>
      <c r="F219" t="s">
        <v>26</v>
      </c>
      <c r="G219" s="4">
        <v>6960</v>
      </c>
      <c r="H219" t="s">
        <v>43</v>
      </c>
      <c r="I219">
        <v>15000</v>
      </c>
      <c r="J219" s="4">
        <f t="shared" si="7"/>
        <v>0</v>
      </c>
    </row>
    <row r="220" spans="1:10" x14ac:dyDescent="0.25">
      <c r="A220" s="1">
        <v>44287</v>
      </c>
      <c r="B220" t="s">
        <v>47</v>
      </c>
      <c r="C220" t="str">
        <f t="shared" si="6"/>
        <v>Emily Whelan</v>
      </c>
      <c r="D220" t="s">
        <v>48</v>
      </c>
      <c r="E220" t="s">
        <v>49</v>
      </c>
      <c r="F220" t="s">
        <v>26</v>
      </c>
      <c r="G220" s="4">
        <v>9627.8999999999978</v>
      </c>
      <c r="H220" t="s">
        <v>11</v>
      </c>
      <c r="I220">
        <v>15000</v>
      </c>
      <c r="J220" s="4">
        <f t="shared" si="7"/>
        <v>0</v>
      </c>
    </row>
    <row r="221" spans="1:10" x14ac:dyDescent="0.25">
      <c r="A221" s="1">
        <v>44287</v>
      </c>
      <c r="B221" t="s">
        <v>34</v>
      </c>
      <c r="C221" t="str">
        <f t="shared" si="6"/>
        <v>Annabel Mettick</v>
      </c>
      <c r="D221" t="s">
        <v>35</v>
      </c>
      <c r="E221" t="s">
        <v>36</v>
      </c>
      <c r="F221" t="s">
        <v>26</v>
      </c>
      <c r="G221" s="4">
        <v>13725.600000000002</v>
      </c>
      <c r="H221" t="s">
        <v>43</v>
      </c>
      <c r="I221">
        <v>15000</v>
      </c>
      <c r="J221" s="4">
        <f t="shared" si="7"/>
        <v>0</v>
      </c>
    </row>
    <row r="222" spans="1:10" x14ac:dyDescent="0.25">
      <c r="A222" s="1">
        <v>44287</v>
      </c>
      <c r="B222" t="s">
        <v>47</v>
      </c>
      <c r="C222" t="str">
        <f t="shared" si="6"/>
        <v>Emily Whelan</v>
      </c>
      <c r="D222" t="s">
        <v>48</v>
      </c>
      <c r="E222" t="s">
        <v>49</v>
      </c>
      <c r="F222" t="s">
        <v>26</v>
      </c>
      <c r="G222" s="4">
        <v>15353.2</v>
      </c>
      <c r="H222" t="s">
        <v>11</v>
      </c>
      <c r="I222">
        <v>15000</v>
      </c>
      <c r="J222" s="4">
        <f t="shared" si="7"/>
        <v>1535.3200000000002</v>
      </c>
    </row>
    <row r="223" spans="1:10" x14ac:dyDescent="0.25">
      <c r="A223" s="1">
        <v>44287</v>
      </c>
      <c r="B223" t="s">
        <v>23</v>
      </c>
      <c r="C223" t="str">
        <f t="shared" si="6"/>
        <v>Olivia Cheung</v>
      </c>
      <c r="D223" t="s">
        <v>24</v>
      </c>
      <c r="E223" t="s">
        <v>25</v>
      </c>
      <c r="F223" t="s">
        <v>26</v>
      </c>
      <c r="G223" s="4">
        <v>18994.5</v>
      </c>
      <c r="H223" t="s">
        <v>15</v>
      </c>
      <c r="I223">
        <v>15000</v>
      </c>
      <c r="J223" s="4">
        <f t="shared" si="7"/>
        <v>1899.45</v>
      </c>
    </row>
    <row r="224" spans="1:10" x14ac:dyDescent="0.25">
      <c r="A224" s="1">
        <v>44287</v>
      </c>
      <c r="B224" t="s">
        <v>23</v>
      </c>
      <c r="C224" t="str">
        <f t="shared" si="6"/>
        <v>Olivia Cheung</v>
      </c>
      <c r="D224" t="s">
        <v>24</v>
      </c>
      <c r="E224" t="s">
        <v>25</v>
      </c>
      <c r="F224" t="s">
        <v>26</v>
      </c>
      <c r="G224" s="4">
        <v>28628.799999999996</v>
      </c>
      <c r="H224" t="s">
        <v>43</v>
      </c>
      <c r="I224">
        <v>15000</v>
      </c>
      <c r="J224" s="4">
        <f t="shared" si="7"/>
        <v>2862.8799999999997</v>
      </c>
    </row>
    <row r="225" spans="1:10" x14ac:dyDescent="0.25">
      <c r="A225" s="1">
        <v>44317</v>
      </c>
      <c r="B225" t="s">
        <v>56</v>
      </c>
      <c r="C225" t="str">
        <f t="shared" si="6"/>
        <v>Cory Goodwin</v>
      </c>
      <c r="D225" t="s">
        <v>57</v>
      </c>
      <c r="E225" t="s">
        <v>58</v>
      </c>
      <c r="F225" t="s">
        <v>26</v>
      </c>
      <c r="G225" s="4">
        <v>10948</v>
      </c>
      <c r="H225" t="s">
        <v>11</v>
      </c>
      <c r="I225">
        <v>15000</v>
      </c>
      <c r="J225" s="4">
        <f t="shared" si="7"/>
        <v>0</v>
      </c>
    </row>
    <row r="226" spans="1:10" x14ac:dyDescent="0.25">
      <c r="A226" s="1">
        <v>44317</v>
      </c>
      <c r="B226" t="s">
        <v>50</v>
      </c>
      <c r="C226" t="str">
        <f t="shared" si="6"/>
        <v>Jason Jackaki</v>
      </c>
      <c r="D226" t="s">
        <v>51</v>
      </c>
      <c r="E226" t="s">
        <v>52</v>
      </c>
      <c r="F226" t="s">
        <v>26</v>
      </c>
      <c r="G226" s="4">
        <v>13044.899999999998</v>
      </c>
      <c r="H226" t="s">
        <v>11</v>
      </c>
      <c r="I226">
        <v>15000</v>
      </c>
      <c r="J226" s="4">
        <f t="shared" si="7"/>
        <v>0</v>
      </c>
    </row>
    <row r="227" spans="1:10" x14ac:dyDescent="0.25">
      <c r="A227" s="1">
        <v>44317</v>
      </c>
      <c r="B227" t="s">
        <v>47</v>
      </c>
      <c r="C227" t="str">
        <f t="shared" si="6"/>
        <v>Emily Whelan</v>
      </c>
      <c r="D227" t="s">
        <v>48</v>
      </c>
      <c r="E227" t="s">
        <v>49</v>
      </c>
      <c r="F227" t="s">
        <v>26</v>
      </c>
      <c r="G227" s="4">
        <v>28616</v>
      </c>
      <c r="H227" t="s">
        <v>43</v>
      </c>
      <c r="I227">
        <v>15000</v>
      </c>
      <c r="J227" s="4">
        <f t="shared" si="7"/>
        <v>2861.6000000000004</v>
      </c>
    </row>
    <row r="228" spans="1:10" x14ac:dyDescent="0.25">
      <c r="A228" s="1">
        <v>44317</v>
      </c>
      <c r="B228" t="s">
        <v>34</v>
      </c>
      <c r="C228" t="str">
        <f t="shared" si="6"/>
        <v>Annabel Mettick</v>
      </c>
      <c r="D228" t="s">
        <v>35</v>
      </c>
      <c r="E228" t="s">
        <v>36</v>
      </c>
      <c r="F228" t="s">
        <v>26</v>
      </c>
      <c r="G228" s="4">
        <v>30377.399999999998</v>
      </c>
      <c r="H228" t="s">
        <v>43</v>
      </c>
      <c r="I228">
        <v>15000</v>
      </c>
      <c r="J228" s="4">
        <f t="shared" si="7"/>
        <v>3037.74</v>
      </c>
    </row>
    <row r="229" spans="1:10" x14ac:dyDescent="0.25">
      <c r="A229" s="1">
        <v>44317</v>
      </c>
      <c r="B229" t="s">
        <v>47</v>
      </c>
      <c r="C229" t="str">
        <f t="shared" si="6"/>
        <v>Emily Whelan</v>
      </c>
      <c r="D229" t="s">
        <v>48</v>
      </c>
      <c r="E229" t="s">
        <v>49</v>
      </c>
      <c r="F229" t="s">
        <v>26</v>
      </c>
      <c r="G229" s="4">
        <v>35351</v>
      </c>
      <c r="H229" t="s">
        <v>15</v>
      </c>
      <c r="I229">
        <v>15000</v>
      </c>
      <c r="J229" s="4">
        <f t="shared" si="7"/>
        <v>3535.1000000000004</v>
      </c>
    </row>
    <row r="230" spans="1:10" x14ac:dyDescent="0.25">
      <c r="A230" s="1">
        <v>44348</v>
      </c>
      <c r="B230" t="s">
        <v>47</v>
      </c>
      <c r="C230" t="str">
        <f t="shared" si="6"/>
        <v>Emily Whelan</v>
      </c>
      <c r="D230" t="s">
        <v>48</v>
      </c>
      <c r="E230" t="s">
        <v>49</v>
      </c>
      <c r="F230" t="s">
        <v>26</v>
      </c>
      <c r="G230" s="4">
        <v>6872.7999999999993</v>
      </c>
      <c r="H230" t="s">
        <v>11</v>
      </c>
      <c r="I230">
        <v>15000</v>
      </c>
      <c r="J230" s="4">
        <f t="shared" si="7"/>
        <v>0</v>
      </c>
    </row>
    <row r="231" spans="1:10" x14ac:dyDescent="0.25">
      <c r="A231" s="1">
        <v>44348</v>
      </c>
      <c r="B231" t="s">
        <v>34</v>
      </c>
      <c r="C231" t="str">
        <f t="shared" si="6"/>
        <v>Annabel Mettick</v>
      </c>
      <c r="D231" t="s">
        <v>35</v>
      </c>
      <c r="E231" t="s">
        <v>36</v>
      </c>
      <c r="F231" t="s">
        <v>26</v>
      </c>
      <c r="G231" s="4">
        <v>8827</v>
      </c>
      <c r="H231" t="s">
        <v>43</v>
      </c>
      <c r="I231">
        <v>15000</v>
      </c>
      <c r="J231" s="4">
        <f t="shared" si="7"/>
        <v>0</v>
      </c>
    </row>
    <row r="232" spans="1:10" x14ac:dyDescent="0.25">
      <c r="A232" s="1">
        <v>44348</v>
      </c>
      <c r="B232" t="s">
        <v>56</v>
      </c>
      <c r="C232" t="str">
        <f t="shared" si="6"/>
        <v>Cory Goodwin</v>
      </c>
      <c r="D232" t="s">
        <v>57</v>
      </c>
      <c r="E232" t="s">
        <v>58</v>
      </c>
      <c r="F232" t="s">
        <v>26</v>
      </c>
      <c r="G232" s="4">
        <v>9836.8000000000011</v>
      </c>
      <c r="H232" t="s">
        <v>11</v>
      </c>
      <c r="I232">
        <v>15000</v>
      </c>
      <c r="J232" s="4">
        <f t="shared" si="7"/>
        <v>0</v>
      </c>
    </row>
    <row r="233" spans="1:10" x14ac:dyDescent="0.25">
      <c r="A233" s="1">
        <v>44348</v>
      </c>
      <c r="B233" t="s">
        <v>34</v>
      </c>
      <c r="C233" t="str">
        <f t="shared" si="6"/>
        <v>Annabel Mettick</v>
      </c>
      <c r="D233" t="s">
        <v>35</v>
      </c>
      <c r="E233" t="s">
        <v>36</v>
      </c>
      <c r="F233" t="s">
        <v>26</v>
      </c>
      <c r="G233" s="4">
        <v>10032</v>
      </c>
      <c r="H233" t="s">
        <v>11</v>
      </c>
      <c r="I233">
        <v>15000</v>
      </c>
      <c r="J233" s="4">
        <f t="shared" si="7"/>
        <v>0</v>
      </c>
    </row>
    <row r="234" spans="1:10" x14ac:dyDescent="0.25">
      <c r="A234" s="1">
        <v>44348</v>
      </c>
      <c r="B234" t="s">
        <v>34</v>
      </c>
      <c r="C234" t="str">
        <f t="shared" si="6"/>
        <v>Annabel Mettick</v>
      </c>
      <c r="D234" t="s">
        <v>35</v>
      </c>
      <c r="E234" t="s">
        <v>36</v>
      </c>
      <c r="F234" t="s">
        <v>26</v>
      </c>
      <c r="G234" s="4">
        <v>15953.599999999999</v>
      </c>
      <c r="H234" t="s">
        <v>15</v>
      </c>
      <c r="I234">
        <v>15000</v>
      </c>
      <c r="J234" s="4">
        <f t="shared" si="7"/>
        <v>1595.36</v>
      </c>
    </row>
    <row r="235" spans="1:10" x14ac:dyDescent="0.25">
      <c r="A235" s="1">
        <v>44348</v>
      </c>
      <c r="B235" t="s">
        <v>47</v>
      </c>
      <c r="C235" t="str">
        <f t="shared" si="6"/>
        <v>Emily Whelan</v>
      </c>
      <c r="D235" t="s">
        <v>48</v>
      </c>
      <c r="E235" t="s">
        <v>49</v>
      </c>
      <c r="F235" t="s">
        <v>26</v>
      </c>
      <c r="G235" s="4">
        <v>25560</v>
      </c>
      <c r="H235" t="s">
        <v>11</v>
      </c>
      <c r="I235">
        <v>15000</v>
      </c>
      <c r="J235" s="4">
        <f t="shared" si="7"/>
        <v>2556</v>
      </c>
    </row>
    <row r="236" spans="1:10" x14ac:dyDescent="0.25">
      <c r="A236" s="1">
        <v>44348</v>
      </c>
      <c r="B236" t="s">
        <v>34</v>
      </c>
      <c r="C236" t="str">
        <f t="shared" si="6"/>
        <v>Annabel Mettick</v>
      </c>
      <c r="D236" t="s">
        <v>35</v>
      </c>
      <c r="E236" t="s">
        <v>36</v>
      </c>
      <c r="F236" t="s">
        <v>26</v>
      </c>
      <c r="G236" s="4">
        <v>35695</v>
      </c>
      <c r="H236" t="s">
        <v>15</v>
      </c>
      <c r="I236">
        <v>15000</v>
      </c>
      <c r="J236" s="4">
        <f t="shared" si="7"/>
        <v>3569.5</v>
      </c>
    </row>
    <row r="237" spans="1:10" x14ac:dyDescent="0.25">
      <c r="A237" s="1">
        <v>44378</v>
      </c>
      <c r="B237" t="s">
        <v>56</v>
      </c>
      <c r="C237" t="str">
        <f t="shared" si="6"/>
        <v>Cory Goodwin</v>
      </c>
      <c r="D237" t="s">
        <v>57</v>
      </c>
      <c r="E237" t="s">
        <v>58</v>
      </c>
      <c r="F237" t="s">
        <v>26</v>
      </c>
      <c r="G237" s="4">
        <v>9405.2999999999993</v>
      </c>
      <c r="H237" t="s">
        <v>15</v>
      </c>
      <c r="I237">
        <v>15000</v>
      </c>
      <c r="J237" s="4">
        <f t="shared" si="7"/>
        <v>0</v>
      </c>
    </row>
    <row r="238" spans="1:10" x14ac:dyDescent="0.25">
      <c r="A238" s="1">
        <v>44378</v>
      </c>
      <c r="B238" t="s">
        <v>47</v>
      </c>
      <c r="C238" t="str">
        <f t="shared" si="6"/>
        <v>Emily Whelan</v>
      </c>
      <c r="D238" t="s">
        <v>48</v>
      </c>
      <c r="E238" t="s">
        <v>49</v>
      </c>
      <c r="F238" t="s">
        <v>26</v>
      </c>
      <c r="G238" s="4">
        <v>9704.1999999999989</v>
      </c>
      <c r="H238" t="s">
        <v>43</v>
      </c>
      <c r="I238">
        <v>15000</v>
      </c>
      <c r="J238" s="4">
        <f t="shared" si="7"/>
        <v>0</v>
      </c>
    </row>
    <row r="239" spans="1:10" x14ac:dyDescent="0.25">
      <c r="A239" s="1">
        <v>44378</v>
      </c>
      <c r="B239" t="s">
        <v>56</v>
      </c>
      <c r="C239" t="str">
        <f t="shared" si="6"/>
        <v>Cory Goodwin</v>
      </c>
      <c r="D239" t="s">
        <v>57</v>
      </c>
      <c r="E239" t="s">
        <v>58</v>
      </c>
      <c r="F239" t="s">
        <v>26</v>
      </c>
      <c r="G239" s="4">
        <v>13674</v>
      </c>
      <c r="H239" t="s">
        <v>15</v>
      </c>
      <c r="I239">
        <v>15000</v>
      </c>
      <c r="J239" s="4">
        <f t="shared" si="7"/>
        <v>0</v>
      </c>
    </row>
    <row r="240" spans="1:10" x14ac:dyDescent="0.25">
      <c r="A240" s="1">
        <v>44378</v>
      </c>
      <c r="B240" t="s">
        <v>34</v>
      </c>
      <c r="C240" t="str">
        <f t="shared" si="6"/>
        <v>Annabel Mettick</v>
      </c>
      <c r="D240" t="s">
        <v>35</v>
      </c>
      <c r="E240" t="s">
        <v>36</v>
      </c>
      <c r="F240" t="s">
        <v>26</v>
      </c>
      <c r="G240" s="4">
        <v>21120.400000000001</v>
      </c>
      <c r="H240" t="s">
        <v>15</v>
      </c>
      <c r="I240">
        <v>15000</v>
      </c>
      <c r="J240" s="4">
        <f t="shared" si="7"/>
        <v>2112.0400000000004</v>
      </c>
    </row>
    <row r="241" spans="1:10" x14ac:dyDescent="0.25">
      <c r="A241" s="1">
        <v>44378</v>
      </c>
      <c r="B241" t="s">
        <v>34</v>
      </c>
      <c r="C241" t="str">
        <f t="shared" si="6"/>
        <v>Annabel Mettick</v>
      </c>
      <c r="D241" t="s">
        <v>35</v>
      </c>
      <c r="E241" t="s">
        <v>36</v>
      </c>
      <c r="F241" t="s">
        <v>26</v>
      </c>
      <c r="G241" s="4">
        <v>23997.600000000002</v>
      </c>
      <c r="H241" t="s">
        <v>11</v>
      </c>
      <c r="I241">
        <v>15000</v>
      </c>
      <c r="J241" s="4">
        <f t="shared" si="7"/>
        <v>2399.7600000000002</v>
      </c>
    </row>
    <row r="242" spans="1:10" x14ac:dyDescent="0.25">
      <c r="A242" s="1">
        <v>44378</v>
      </c>
      <c r="B242" t="s">
        <v>34</v>
      </c>
      <c r="C242" t="str">
        <f t="shared" si="6"/>
        <v>Annabel Mettick</v>
      </c>
      <c r="D242" t="s">
        <v>35</v>
      </c>
      <c r="E242" t="s">
        <v>36</v>
      </c>
      <c r="F242" t="s">
        <v>26</v>
      </c>
      <c r="G242" s="4">
        <v>35715.4</v>
      </c>
      <c r="H242" t="s">
        <v>43</v>
      </c>
      <c r="I242">
        <v>15000</v>
      </c>
      <c r="J242" s="4">
        <f t="shared" si="7"/>
        <v>3571.5400000000004</v>
      </c>
    </row>
    <row r="243" spans="1:10" x14ac:dyDescent="0.25">
      <c r="A243" s="1">
        <v>44409</v>
      </c>
      <c r="B243" t="s">
        <v>34</v>
      </c>
      <c r="C243" t="str">
        <f t="shared" si="6"/>
        <v>Annabel Mettick</v>
      </c>
      <c r="D243" t="s">
        <v>35</v>
      </c>
      <c r="E243" t="s">
        <v>36</v>
      </c>
      <c r="F243" t="s">
        <v>26</v>
      </c>
      <c r="G243" s="4">
        <v>3386.6000000000004</v>
      </c>
      <c r="H243" t="s">
        <v>15</v>
      </c>
      <c r="I243">
        <v>15000</v>
      </c>
      <c r="J243" s="4">
        <f t="shared" si="7"/>
        <v>0</v>
      </c>
    </row>
    <row r="244" spans="1:10" x14ac:dyDescent="0.25">
      <c r="A244" s="1">
        <v>44409</v>
      </c>
      <c r="B244" t="s">
        <v>47</v>
      </c>
      <c r="C244" t="str">
        <f t="shared" si="6"/>
        <v>Emily Whelan</v>
      </c>
      <c r="D244" t="s">
        <v>48</v>
      </c>
      <c r="E244" t="s">
        <v>49</v>
      </c>
      <c r="F244" t="s">
        <v>26</v>
      </c>
      <c r="G244" s="4">
        <v>4028</v>
      </c>
      <c r="H244" t="s">
        <v>11</v>
      </c>
      <c r="I244">
        <v>15000</v>
      </c>
      <c r="J244" s="4">
        <f t="shared" si="7"/>
        <v>0</v>
      </c>
    </row>
    <row r="245" spans="1:10" x14ac:dyDescent="0.25">
      <c r="A245" s="1">
        <v>44409</v>
      </c>
      <c r="B245" t="s">
        <v>23</v>
      </c>
      <c r="C245" t="str">
        <f t="shared" si="6"/>
        <v>Olivia Cheung</v>
      </c>
      <c r="D245" t="s">
        <v>24</v>
      </c>
      <c r="E245" t="s">
        <v>25</v>
      </c>
      <c r="F245" t="s">
        <v>26</v>
      </c>
      <c r="G245" s="4">
        <v>5532.7999999999993</v>
      </c>
      <c r="H245" t="s">
        <v>15</v>
      </c>
      <c r="I245">
        <v>15000</v>
      </c>
      <c r="J245" s="4">
        <f t="shared" si="7"/>
        <v>0</v>
      </c>
    </row>
    <row r="246" spans="1:10" x14ac:dyDescent="0.25">
      <c r="A246" s="1">
        <v>44409</v>
      </c>
      <c r="B246" t="s">
        <v>34</v>
      </c>
      <c r="C246" t="str">
        <f t="shared" si="6"/>
        <v>Annabel Mettick</v>
      </c>
      <c r="D246" t="s">
        <v>35</v>
      </c>
      <c r="E246" t="s">
        <v>36</v>
      </c>
      <c r="F246" t="s">
        <v>26</v>
      </c>
      <c r="G246" s="4">
        <v>10200</v>
      </c>
      <c r="H246" t="s">
        <v>43</v>
      </c>
      <c r="I246">
        <v>15000</v>
      </c>
      <c r="J246" s="4">
        <f t="shared" si="7"/>
        <v>0</v>
      </c>
    </row>
    <row r="247" spans="1:10" x14ac:dyDescent="0.25">
      <c r="A247" s="1">
        <v>44409</v>
      </c>
      <c r="B247" t="s">
        <v>23</v>
      </c>
      <c r="C247" t="str">
        <f t="shared" si="6"/>
        <v>Olivia Cheung</v>
      </c>
      <c r="D247" t="s">
        <v>24</v>
      </c>
      <c r="E247" t="s">
        <v>25</v>
      </c>
      <c r="F247" t="s">
        <v>26</v>
      </c>
      <c r="G247" s="4">
        <v>13923</v>
      </c>
      <c r="H247" t="s">
        <v>43</v>
      </c>
      <c r="I247">
        <v>15000</v>
      </c>
      <c r="J247" s="4">
        <f t="shared" si="7"/>
        <v>0</v>
      </c>
    </row>
    <row r="248" spans="1:10" x14ac:dyDescent="0.25">
      <c r="A248" s="1">
        <v>44409</v>
      </c>
      <c r="B248" t="s">
        <v>47</v>
      </c>
      <c r="C248" t="str">
        <f t="shared" si="6"/>
        <v>Emily Whelan</v>
      </c>
      <c r="D248" t="s">
        <v>48</v>
      </c>
      <c r="E248" t="s">
        <v>49</v>
      </c>
      <c r="F248" t="s">
        <v>26</v>
      </c>
      <c r="G248" s="4">
        <v>17593.399999999998</v>
      </c>
      <c r="H248" t="s">
        <v>15</v>
      </c>
      <c r="I248">
        <v>15000</v>
      </c>
      <c r="J248" s="4">
        <f t="shared" si="7"/>
        <v>1759.34</v>
      </c>
    </row>
    <row r="249" spans="1:10" x14ac:dyDescent="0.25">
      <c r="A249" s="1">
        <v>44409</v>
      </c>
      <c r="B249" t="s">
        <v>56</v>
      </c>
      <c r="C249" t="str">
        <f t="shared" si="6"/>
        <v>Cory Goodwin</v>
      </c>
      <c r="D249" t="s">
        <v>57</v>
      </c>
      <c r="E249" t="s">
        <v>58</v>
      </c>
      <c r="F249" t="s">
        <v>26</v>
      </c>
      <c r="G249" s="4">
        <v>17666</v>
      </c>
      <c r="H249" t="s">
        <v>11</v>
      </c>
      <c r="I249">
        <v>15000</v>
      </c>
      <c r="J249" s="4">
        <f t="shared" si="7"/>
        <v>1766.6000000000001</v>
      </c>
    </row>
    <row r="250" spans="1:10" x14ac:dyDescent="0.25">
      <c r="A250" s="1">
        <v>44409</v>
      </c>
      <c r="B250" t="s">
        <v>34</v>
      </c>
      <c r="C250" t="str">
        <f t="shared" si="6"/>
        <v>Annabel Mettick</v>
      </c>
      <c r="D250" t="s">
        <v>35</v>
      </c>
      <c r="E250" t="s">
        <v>36</v>
      </c>
      <c r="F250" t="s">
        <v>26</v>
      </c>
      <c r="G250" s="4">
        <v>21420</v>
      </c>
      <c r="H250" t="s">
        <v>43</v>
      </c>
      <c r="I250">
        <v>15000</v>
      </c>
      <c r="J250" s="4">
        <f t="shared" si="7"/>
        <v>2142</v>
      </c>
    </row>
    <row r="251" spans="1:10" x14ac:dyDescent="0.25">
      <c r="A251" s="1">
        <v>44409</v>
      </c>
      <c r="B251" t="s">
        <v>23</v>
      </c>
      <c r="C251" t="str">
        <f t="shared" si="6"/>
        <v>Olivia Cheung</v>
      </c>
      <c r="D251" t="s">
        <v>24</v>
      </c>
      <c r="E251" t="s">
        <v>25</v>
      </c>
      <c r="F251" t="s">
        <v>26</v>
      </c>
      <c r="G251" s="4">
        <v>24080</v>
      </c>
      <c r="H251" t="s">
        <v>11</v>
      </c>
      <c r="I251">
        <v>15000</v>
      </c>
      <c r="J251" s="4">
        <f t="shared" si="7"/>
        <v>2408</v>
      </c>
    </row>
    <row r="252" spans="1:10" x14ac:dyDescent="0.25">
      <c r="A252" s="1">
        <v>44409</v>
      </c>
      <c r="B252" t="s">
        <v>47</v>
      </c>
      <c r="C252" t="str">
        <f t="shared" si="6"/>
        <v>Emily Whelan</v>
      </c>
      <c r="D252" t="s">
        <v>48</v>
      </c>
      <c r="E252" t="s">
        <v>49</v>
      </c>
      <c r="F252" t="s">
        <v>26</v>
      </c>
      <c r="G252" s="4">
        <v>27531</v>
      </c>
      <c r="H252" t="s">
        <v>43</v>
      </c>
      <c r="I252">
        <v>15000</v>
      </c>
      <c r="J252" s="4">
        <f t="shared" si="7"/>
        <v>2753.1000000000004</v>
      </c>
    </row>
    <row r="253" spans="1:10" x14ac:dyDescent="0.25">
      <c r="A253" s="1">
        <v>44409</v>
      </c>
      <c r="B253" t="s">
        <v>56</v>
      </c>
      <c r="C253" t="str">
        <f t="shared" si="6"/>
        <v>Cory Goodwin</v>
      </c>
      <c r="D253" t="s">
        <v>57</v>
      </c>
      <c r="E253" t="s">
        <v>58</v>
      </c>
      <c r="F253" t="s">
        <v>26</v>
      </c>
      <c r="G253" s="4">
        <v>32795.700000000004</v>
      </c>
      <c r="H253" t="s">
        <v>15</v>
      </c>
      <c r="I253">
        <v>15000</v>
      </c>
      <c r="J253" s="4">
        <f t="shared" si="7"/>
        <v>3279.5700000000006</v>
      </c>
    </row>
    <row r="254" spans="1:10" x14ac:dyDescent="0.25">
      <c r="A254" s="1">
        <v>44440</v>
      </c>
      <c r="B254" t="s">
        <v>47</v>
      </c>
      <c r="C254" t="str">
        <f t="shared" si="6"/>
        <v>Emily Whelan</v>
      </c>
      <c r="D254" t="s">
        <v>48</v>
      </c>
      <c r="E254" t="s">
        <v>49</v>
      </c>
      <c r="F254" t="s">
        <v>26</v>
      </c>
      <c r="G254" s="4">
        <v>7008</v>
      </c>
      <c r="H254" t="s">
        <v>43</v>
      </c>
      <c r="I254">
        <v>15000</v>
      </c>
      <c r="J254" s="4">
        <f t="shared" si="7"/>
        <v>0</v>
      </c>
    </row>
    <row r="255" spans="1:10" x14ac:dyDescent="0.25">
      <c r="A255" s="1">
        <v>44440</v>
      </c>
      <c r="B255" t="s">
        <v>23</v>
      </c>
      <c r="C255" t="str">
        <f t="shared" si="6"/>
        <v>Olivia Cheung</v>
      </c>
      <c r="D255" t="s">
        <v>24</v>
      </c>
      <c r="E255" t="s">
        <v>25</v>
      </c>
      <c r="F255" t="s">
        <v>26</v>
      </c>
      <c r="G255" s="4">
        <v>8099.6999999999989</v>
      </c>
      <c r="H255" t="s">
        <v>11</v>
      </c>
      <c r="I255">
        <v>15000</v>
      </c>
      <c r="J255" s="4">
        <f t="shared" si="7"/>
        <v>0</v>
      </c>
    </row>
    <row r="256" spans="1:10" x14ac:dyDescent="0.25">
      <c r="A256" s="1">
        <v>44440</v>
      </c>
      <c r="B256" t="s">
        <v>34</v>
      </c>
      <c r="C256" t="str">
        <f t="shared" si="6"/>
        <v>Annabel Mettick</v>
      </c>
      <c r="D256" t="s">
        <v>35</v>
      </c>
      <c r="E256" t="s">
        <v>36</v>
      </c>
      <c r="F256" t="s">
        <v>26</v>
      </c>
      <c r="G256" s="4">
        <v>9840</v>
      </c>
      <c r="H256" t="s">
        <v>15</v>
      </c>
      <c r="I256">
        <v>15000</v>
      </c>
      <c r="J256" s="4">
        <f t="shared" si="7"/>
        <v>0</v>
      </c>
    </row>
    <row r="257" spans="1:10" x14ac:dyDescent="0.25">
      <c r="A257" s="1">
        <v>44440</v>
      </c>
      <c r="B257" t="s">
        <v>50</v>
      </c>
      <c r="C257" t="str">
        <f t="shared" si="6"/>
        <v>Jason Jackaki</v>
      </c>
      <c r="D257" t="s">
        <v>51</v>
      </c>
      <c r="E257" t="s">
        <v>52</v>
      </c>
      <c r="F257" t="s">
        <v>26</v>
      </c>
      <c r="G257" s="4">
        <v>10218</v>
      </c>
      <c r="H257" t="s">
        <v>15</v>
      </c>
      <c r="I257">
        <v>15000</v>
      </c>
      <c r="J257" s="4">
        <f t="shared" si="7"/>
        <v>0</v>
      </c>
    </row>
    <row r="258" spans="1:10" x14ac:dyDescent="0.25">
      <c r="A258" s="1">
        <v>44440</v>
      </c>
      <c r="B258" t="s">
        <v>34</v>
      </c>
      <c r="C258" t="str">
        <f t="shared" si="6"/>
        <v>Annabel Mettick</v>
      </c>
      <c r="D258" t="s">
        <v>35</v>
      </c>
      <c r="E258" t="s">
        <v>36</v>
      </c>
      <c r="F258" t="s">
        <v>26</v>
      </c>
      <c r="G258" s="4">
        <v>14311.2</v>
      </c>
      <c r="H258" t="s">
        <v>11</v>
      </c>
      <c r="I258">
        <v>15000</v>
      </c>
      <c r="J258" s="4">
        <f t="shared" si="7"/>
        <v>0</v>
      </c>
    </row>
    <row r="259" spans="1:10" x14ac:dyDescent="0.25">
      <c r="A259" s="1">
        <v>44440</v>
      </c>
      <c r="B259" t="s">
        <v>34</v>
      </c>
      <c r="C259" t="str">
        <f t="shared" ref="C259:C322" si="8">TRIM(B259)</f>
        <v>Annabel Mettick</v>
      </c>
      <c r="D259" t="s">
        <v>35</v>
      </c>
      <c r="E259" t="s">
        <v>36</v>
      </c>
      <c r="F259" t="s">
        <v>26</v>
      </c>
      <c r="G259" s="4">
        <v>14715.2</v>
      </c>
      <c r="H259" t="s">
        <v>15</v>
      </c>
      <c r="I259">
        <v>15000</v>
      </c>
      <c r="J259" s="4">
        <f t="shared" ref="J259:J322" si="9">IF(G259&gt;=I259,G259*$L$2,0)</f>
        <v>0</v>
      </c>
    </row>
    <row r="260" spans="1:10" x14ac:dyDescent="0.25">
      <c r="A260" s="1">
        <v>44440</v>
      </c>
      <c r="B260" t="s">
        <v>56</v>
      </c>
      <c r="C260" t="str">
        <f t="shared" si="8"/>
        <v>Cory Goodwin</v>
      </c>
      <c r="D260" t="s">
        <v>57</v>
      </c>
      <c r="E260" t="s">
        <v>58</v>
      </c>
      <c r="F260" t="s">
        <v>26</v>
      </c>
      <c r="G260" s="4">
        <v>19147.8</v>
      </c>
      <c r="H260" t="s">
        <v>15</v>
      </c>
      <c r="I260">
        <v>15000</v>
      </c>
      <c r="J260" s="4">
        <f t="shared" si="9"/>
        <v>1914.78</v>
      </c>
    </row>
    <row r="261" spans="1:10" x14ac:dyDescent="0.25">
      <c r="A261" s="1">
        <v>44440</v>
      </c>
      <c r="B261" t="s">
        <v>34</v>
      </c>
      <c r="C261" t="str">
        <f t="shared" si="8"/>
        <v>Annabel Mettick</v>
      </c>
      <c r="D261" t="s">
        <v>35</v>
      </c>
      <c r="E261" t="s">
        <v>36</v>
      </c>
      <c r="F261" t="s">
        <v>26</v>
      </c>
      <c r="G261" s="4">
        <v>20760.300000000003</v>
      </c>
      <c r="H261" t="s">
        <v>15</v>
      </c>
      <c r="I261">
        <v>15000</v>
      </c>
      <c r="J261" s="4">
        <f t="shared" si="9"/>
        <v>2076.0300000000002</v>
      </c>
    </row>
    <row r="262" spans="1:10" x14ac:dyDescent="0.25">
      <c r="A262" s="1">
        <v>44440</v>
      </c>
      <c r="B262" t="s">
        <v>56</v>
      </c>
      <c r="C262" t="str">
        <f t="shared" si="8"/>
        <v>Cory Goodwin</v>
      </c>
      <c r="D262" t="s">
        <v>57</v>
      </c>
      <c r="E262" t="s">
        <v>58</v>
      </c>
      <c r="F262" t="s">
        <v>26</v>
      </c>
      <c r="G262" s="4">
        <v>24579.8</v>
      </c>
      <c r="H262" t="s">
        <v>11</v>
      </c>
      <c r="I262">
        <v>15000</v>
      </c>
      <c r="J262" s="4">
        <f t="shared" si="9"/>
        <v>2457.98</v>
      </c>
    </row>
    <row r="263" spans="1:10" x14ac:dyDescent="0.25">
      <c r="A263" s="1">
        <v>44440</v>
      </c>
      <c r="B263" t="s">
        <v>56</v>
      </c>
      <c r="C263" t="str">
        <f t="shared" si="8"/>
        <v>Cory Goodwin</v>
      </c>
      <c r="D263" t="s">
        <v>57</v>
      </c>
      <c r="E263" t="s">
        <v>58</v>
      </c>
      <c r="F263" t="s">
        <v>26</v>
      </c>
      <c r="G263" s="4">
        <v>25946.300000000003</v>
      </c>
      <c r="H263" t="s">
        <v>43</v>
      </c>
      <c r="I263">
        <v>15000</v>
      </c>
      <c r="J263" s="4">
        <f t="shared" si="9"/>
        <v>2594.6300000000006</v>
      </c>
    </row>
    <row r="264" spans="1:10" x14ac:dyDescent="0.25">
      <c r="A264" s="1">
        <v>44440</v>
      </c>
      <c r="B264" t="s">
        <v>23</v>
      </c>
      <c r="C264" t="str">
        <f t="shared" si="8"/>
        <v>Olivia Cheung</v>
      </c>
      <c r="D264" t="s">
        <v>24</v>
      </c>
      <c r="E264" t="s">
        <v>25</v>
      </c>
      <c r="F264" t="s">
        <v>26</v>
      </c>
      <c r="G264" s="4">
        <v>30367.999999999996</v>
      </c>
      <c r="H264" t="s">
        <v>15</v>
      </c>
      <c r="I264">
        <v>15000</v>
      </c>
      <c r="J264" s="4">
        <f t="shared" si="9"/>
        <v>3036.7999999999997</v>
      </c>
    </row>
    <row r="265" spans="1:10" x14ac:dyDescent="0.25">
      <c r="A265" s="1">
        <v>44440</v>
      </c>
      <c r="B265" t="s">
        <v>47</v>
      </c>
      <c r="C265" t="str">
        <f t="shared" si="8"/>
        <v>Emily Whelan</v>
      </c>
      <c r="D265" t="s">
        <v>48</v>
      </c>
      <c r="E265" t="s">
        <v>49</v>
      </c>
      <c r="F265" t="s">
        <v>26</v>
      </c>
      <c r="G265" s="4">
        <v>35640</v>
      </c>
      <c r="H265" t="s">
        <v>11</v>
      </c>
      <c r="I265">
        <v>15000</v>
      </c>
      <c r="J265" s="4">
        <f t="shared" si="9"/>
        <v>3564</v>
      </c>
    </row>
    <row r="266" spans="1:10" x14ac:dyDescent="0.25">
      <c r="A266" s="1">
        <v>44470</v>
      </c>
      <c r="B266" t="s">
        <v>50</v>
      </c>
      <c r="C266" t="str">
        <f t="shared" si="8"/>
        <v>Jason Jackaki</v>
      </c>
      <c r="D266" t="s">
        <v>51</v>
      </c>
      <c r="E266" t="s">
        <v>52</v>
      </c>
      <c r="F266" t="s">
        <v>26</v>
      </c>
      <c r="G266" s="4">
        <v>4201.6000000000004</v>
      </c>
      <c r="H266" t="s">
        <v>15</v>
      </c>
      <c r="I266">
        <v>15000</v>
      </c>
      <c r="J266" s="4">
        <f t="shared" si="9"/>
        <v>0</v>
      </c>
    </row>
    <row r="267" spans="1:10" x14ac:dyDescent="0.25">
      <c r="A267" s="1">
        <v>44470</v>
      </c>
      <c r="B267" t="s">
        <v>23</v>
      </c>
      <c r="C267" t="str">
        <f t="shared" si="8"/>
        <v>Olivia Cheung</v>
      </c>
      <c r="D267" t="s">
        <v>24</v>
      </c>
      <c r="E267" t="s">
        <v>25</v>
      </c>
      <c r="F267" t="s">
        <v>26</v>
      </c>
      <c r="G267" s="4">
        <v>15262.8</v>
      </c>
      <c r="H267" t="s">
        <v>43</v>
      </c>
      <c r="I267">
        <v>15000</v>
      </c>
      <c r="J267" s="4">
        <f t="shared" si="9"/>
        <v>1526.28</v>
      </c>
    </row>
    <row r="268" spans="1:10" x14ac:dyDescent="0.25">
      <c r="A268" s="1">
        <v>44470</v>
      </c>
      <c r="B268" t="s">
        <v>56</v>
      </c>
      <c r="C268" t="str">
        <f t="shared" si="8"/>
        <v>Cory Goodwin</v>
      </c>
      <c r="D268" t="s">
        <v>57</v>
      </c>
      <c r="E268" t="s">
        <v>58</v>
      </c>
      <c r="F268" t="s">
        <v>26</v>
      </c>
      <c r="G268" s="4">
        <v>20790</v>
      </c>
      <c r="H268" t="s">
        <v>15</v>
      </c>
      <c r="I268">
        <v>15000</v>
      </c>
      <c r="J268" s="4">
        <f t="shared" si="9"/>
        <v>2079</v>
      </c>
    </row>
    <row r="269" spans="1:10" x14ac:dyDescent="0.25">
      <c r="A269" s="1">
        <v>44470</v>
      </c>
      <c r="B269" t="s">
        <v>50</v>
      </c>
      <c r="C269" t="str">
        <f t="shared" si="8"/>
        <v>Jason Jackaki</v>
      </c>
      <c r="D269" t="s">
        <v>51</v>
      </c>
      <c r="E269" t="s">
        <v>52</v>
      </c>
      <c r="F269" t="s">
        <v>26</v>
      </c>
      <c r="G269" s="4">
        <v>21878.5</v>
      </c>
      <c r="H269" t="s">
        <v>11</v>
      </c>
      <c r="I269">
        <v>15000</v>
      </c>
      <c r="J269" s="4">
        <f t="shared" si="9"/>
        <v>2187.85</v>
      </c>
    </row>
    <row r="270" spans="1:10" x14ac:dyDescent="0.25">
      <c r="A270" s="1">
        <v>44470</v>
      </c>
      <c r="B270" t="s">
        <v>56</v>
      </c>
      <c r="C270" t="str">
        <f t="shared" si="8"/>
        <v>Cory Goodwin</v>
      </c>
      <c r="D270" t="s">
        <v>57</v>
      </c>
      <c r="E270" t="s">
        <v>58</v>
      </c>
      <c r="F270" t="s">
        <v>26</v>
      </c>
      <c r="G270" s="4">
        <v>22136.800000000003</v>
      </c>
      <c r="H270" t="s">
        <v>11</v>
      </c>
      <c r="I270">
        <v>15000</v>
      </c>
      <c r="J270" s="4">
        <f t="shared" si="9"/>
        <v>2213.6800000000003</v>
      </c>
    </row>
    <row r="271" spans="1:10" x14ac:dyDescent="0.25">
      <c r="A271" s="1">
        <v>44470</v>
      </c>
      <c r="B271" t="s">
        <v>56</v>
      </c>
      <c r="C271" t="str">
        <f t="shared" si="8"/>
        <v>Cory Goodwin</v>
      </c>
      <c r="D271" t="s">
        <v>57</v>
      </c>
      <c r="E271" t="s">
        <v>58</v>
      </c>
      <c r="F271" t="s">
        <v>26</v>
      </c>
      <c r="G271" s="4">
        <v>23240.400000000001</v>
      </c>
      <c r="H271" t="s">
        <v>15</v>
      </c>
      <c r="I271">
        <v>15000</v>
      </c>
      <c r="J271" s="4">
        <f t="shared" si="9"/>
        <v>2324.0400000000004</v>
      </c>
    </row>
    <row r="272" spans="1:10" x14ac:dyDescent="0.25">
      <c r="A272" s="1">
        <v>44470</v>
      </c>
      <c r="B272" t="s">
        <v>50</v>
      </c>
      <c r="C272" t="str">
        <f t="shared" si="8"/>
        <v>Jason Jackaki</v>
      </c>
      <c r="D272" t="s">
        <v>51</v>
      </c>
      <c r="E272" t="s">
        <v>52</v>
      </c>
      <c r="F272" t="s">
        <v>26</v>
      </c>
      <c r="G272" s="4">
        <v>41989.599999999999</v>
      </c>
      <c r="H272" t="s">
        <v>11</v>
      </c>
      <c r="I272">
        <v>15000</v>
      </c>
      <c r="J272" s="4">
        <f t="shared" si="9"/>
        <v>4198.96</v>
      </c>
    </row>
    <row r="273" spans="1:10" x14ac:dyDescent="0.25">
      <c r="A273" s="1">
        <v>44501</v>
      </c>
      <c r="B273" t="s">
        <v>34</v>
      </c>
      <c r="C273" t="str">
        <f t="shared" si="8"/>
        <v>Annabel Mettick</v>
      </c>
      <c r="D273" t="s">
        <v>35</v>
      </c>
      <c r="E273" t="s">
        <v>36</v>
      </c>
      <c r="F273" t="s">
        <v>26</v>
      </c>
      <c r="G273" s="4">
        <v>9006</v>
      </c>
      <c r="H273" t="s">
        <v>43</v>
      </c>
      <c r="I273">
        <v>15000</v>
      </c>
      <c r="J273" s="4">
        <f t="shared" si="9"/>
        <v>0</v>
      </c>
    </row>
    <row r="274" spans="1:10" x14ac:dyDescent="0.25">
      <c r="A274" s="1">
        <v>44501</v>
      </c>
      <c r="B274" t="s">
        <v>50</v>
      </c>
      <c r="C274" t="str">
        <f t="shared" si="8"/>
        <v>Jason Jackaki</v>
      </c>
      <c r="D274" t="s">
        <v>51</v>
      </c>
      <c r="E274" t="s">
        <v>52</v>
      </c>
      <c r="F274" t="s">
        <v>26</v>
      </c>
      <c r="G274" s="4">
        <v>10573.5</v>
      </c>
      <c r="H274" t="s">
        <v>11</v>
      </c>
      <c r="I274">
        <v>15000</v>
      </c>
      <c r="J274" s="4">
        <f t="shared" si="9"/>
        <v>0</v>
      </c>
    </row>
    <row r="275" spans="1:10" x14ac:dyDescent="0.25">
      <c r="A275" s="1">
        <v>44501</v>
      </c>
      <c r="B275" t="s">
        <v>47</v>
      </c>
      <c r="C275" t="str">
        <f t="shared" si="8"/>
        <v>Emily Whelan</v>
      </c>
      <c r="D275" t="s">
        <v>48</v>
      </c>
      <c r="E275" t="s">
        <v>49</v>
      </c>
      <c r="F275" t="s">
        <v>26</v>
      </c>
      <c r="G275" s="4">
        <v>13230</v>
      </c>
      <c r="H275" t="s">
        <v>15</v>
      </c>
      <c r="I275">
        <v>15000</v>
      </c>
      <c r="J275" s="4">
        <f t="shared" si="9"/>
        <v>0</v>
      </c>
    </row>
    <row r="276" spans="1:10" x14ac:dyDescent="0.25">
      <c r="A276" s="1">
        <v>44501</v>
      </c>
      <c r="B276" t="s">
        <v>23</v>
      </c>
      <c r="C276" t="str">
        <f t="shared" si="8"/>
        <v>Olivia Cheung</v>
      </c>
      <c r="D276" t="s">
        <v>24</v>
      </c>
      <c r="E276" t="s">
        <v>25</v>
      </c>
      <c r="F276" t="s">
        <v>26</v>
      </c>
      <c r="G276" s="4">
        <v>15403.600000000002</v>
      </c>
      <c r="H276" t="s">
        <v>15</v>
      </c>
      <c r="I276">
        <v>15000</v>
      </c>
      <c r="J276" s="4">
        <f t="shared" si="9"/>
        <v>1540.3600000000004</v>
      </c>
    </row>
    <row r="277" spans="1:10" x14ac:dyDescent="0.25">
      <c r="A277" s="1">
        <v>44501</v>
      </c>
      <c r="B277" t="s">
        <v>34</v>
      </c>
      <c r="C277" t="str">
        <f t="shared" si="8"/>
        <v>Annabel Mettick</v>
      </c>
      <c r="D277" t="s">
        <v>35</v>
      </c>
      <c r="E277" t="s">
        <v>36</v>
      </c>
      <c r="F277" t="s">
        <v>26</v>
      </c>
      <c r="G277" s="4">
        <v>16394.399999999998</v>
      </c>
      <c r="H277" t="s">
        <v>15</v>
      </c>
      <c r="I277">
        <v>15000</v>
      </c>
      <c r="J277" s="4">
        <f t="shared" si="9"/>
        <v>1639.4399999999998</v>
      </c>
    </row>
    <row r="278" spans="1:10" x14ac:dyDescent="0.25">
      <c r="A278" s="1">
        <v>44501</v>
      </c>
      <c r="B278" t="s">
        <v>34</v>
      </c>
      <c r="C278" t="str">
        <f t="shared" si="8"/>
        <v>Annabel Mettick</v>
      </c>
      <c r="D278" t="s">
        <v>35</v>
      </c>
      <c r="E278" t="s">
        <v>36</v>
      </c>
      <c r="F278" t="s">
        <v>26</v>
      </c>
      <c r="G278" s="4">
        <v>16606</v>
      </c>
      <c r="H278" t="s">
        <v>43</v>
      </c>
      <c r="I278">
        <v>15000</v>
      </c>
      <c r="J278" s="4">
        <f t="shared" si="9"/>
        <v>1660.6000000000001</v>
      </c>
    </row>
    <row r="279" spans="1:10" x14ac:dyDescent="0.25">
      <c r="A279" s="1">
        <v>44501</v>
      </c>
      <c r="B279" t="s">
        <v>23</v>
      </c>
      <c r="C279" t="str">
        <f t="shared" si="8"/>
        <v>Olivia Cheung</v>
      </c>
      <c r="D279" t="s">
        <v>24</v>
      </c>
      <c r="E279" t="s">
        <v>25</v>
      </c>
      <c r="F279" t="s">
        <v>26</v>
      </c>
      <c r="G279" s="4">
        <v>18452.599999999999</v>
      </c>
      <c r="H279" t="s">
        <v>43</v>
      </c>
      <c r="I279">
        <v>15000</v>
      </c>
      <c r="J279" s="4">
        <f t="shared" si="9"/>
        <v>1845.26</v>
      </c>
    </row>
    <row r="280" spans="1:10" x14ac:dyDescent="0.25">
      <c r="A280" s="1">
        <v>44501</v>
      </c>
      <c r="B280" t="s">
        <v>50</v>
      </c>
      <c r="C280" t="str">
        <f t="shared" si="8"/>
        <v>Jason Jackaki</v>
      </c>
      <c r="D280" t="s">
        <v>51</v>
      </c>
      <c r="E280" t="s">
        <v>52</v>
      </c>
      <c r="F280" t="s">
        <v>26</v>
      </c>
      <c r="G280" s="4">
        <v>20062.5</v>
      </c>
      <c r="H280" t="s">
        <v>11</v>
      </c>
      <c r="I280">
        <v>15000</v>
      </c>
      <c r="J280" s="4">
        <f t="shared" si="9"/>
        <v>2006.25</v>
      </c>
    </row>
    <row r="281" spans="1:10" x14ac:dyDescent="0.25">
      <c r="A281" s="1">
        <v>44501</v>
      </c>
      <c r="B281" t="s">
        <v>56</v>
      </c>
      <c r="C281" t="str">
        <f t="shared" si="8"/>
        <v>Cory Goodwin</v>
      </c>
      <c r="D281" t="s">
        <v>57</v>
      </c>
      <c r="E281" t="s">
        <v>58</v>
      </c>
      <c r="F281" t="s">
        <v>26</v>
      </c>
      <c r="G281" s="4">
        <v>22900.499999999996</v>
      </c>
      <c r="H281" t="s">
        <v>11</v>
      </c>
      <c r="I281">
        <v>15000</v>
      </c>
      <c r="J281" s="4">
        <f t="shared" si="9"/>
        <v>2290.0499999999997</v>
      </c>
    </row>
    <row r="282" spans="1:10" x14ac:dyDescent="0.25">
      <c r="A282" s="1">
        <v>44501</v>
      </c>
      <c r="B282" t="s">
        <v>56</v>
      </c>
      <c r="C282" t="str">
        <f t="shared" si="8"/>
        <v>Cory Goodwin</v>
      </c>
      <c r="D282" t="s">
        <v>57</v>
      </c>
      <c r="E282" t="s">
        <v>58</v>
      </c>
      <c r="F282" t="s">
        <v>26</v>
      </c>
      <c r="G282" s="4">
        <v>23057.999999999996</v>
      </c>
      <c r="H282" t="s">
        <v>43</v>
      </c>
      <c r="I282">
        <v>15000</v>
      </c>
      <c r="J282" s="4">
        <f t="shared" si="9"/>
        <v>2305.7999999999997</v>
      </c>
    </row>
    <row r="283" spans="1:10" x14ac:dyDescent="0.25">
      <c r="A283" s="1">
        <v>44501</v>
      </c>
      <c r="B283" t="s">
        <v>34</v>
      </c>
      <c r="C283" t="str">
        <f t="shared" si="8"/>
        <v>Annabel Mettick</v>
      </c>
      <c r="D283" t="s">
        <v>35</v>
      </c>
      <c r="E283" t="s">
        <v>36</v>
      </c>
      <c r="F283" t="s">
        <v>26</v>
      </c>
      <c r="G283" s="4">
        <v>37560</v>
      </c>
      <c r="H283" t="s">
        <v>43</v>
      </c>
      <c r="I283">
        <v>15000</v>
      </c>
      <c r="J283" s="4">
        <f t="shared" si="9"/>
        <v>3756</v>
      </c>
    </row>
    <row r="284" spans="1:10" x14ac:dyDescent="0.25">
      <c r="A284" s="1">
        <v>44501</v>
      </c>
      <c r="B284" t="s">
        <v>50</v>
      </c>
      <c r="C284" t="str">
        <f t="shared" si="8"/>
        <v>Jason Jackaki</v>
      </c>
      <c r="D284" t="s">
        <v>51</v>
      </c>
      <c r="E284" t="s">
        <v>52</v>
      </c>
      <c r="F284" t="s">
        <v>26</v>
      </c>
      <c r="G284" s="4">
        <v>38570</v>
      </c>
      <c r="H284" t="s">
        <v>11</v>
      </c>
      <c r="I284">
        <v>15000</v>
      </c>
      <c r="J284" s="4">
        <f t="shared" si="9"/>
        <v>3857</v>
      </c>
    </row>
    <row r="285" spans="1:10" x14ac:dyDescent="0.25">
      <c r="A285" s="1">
        <v>44501</v>
      </c>
      <c r="B285" t="s">
        <v>23</v>
      </c>
      <c r="C285" t="str">
        <f t="shared" si="8"/>
        <v>Olivia Cheung</v>
      </c>
      <c r="D285" t="s">
        <v>24</v>
      </c>
      <c r="E285" t="s">
        <v>25</v>
      </c>
      <c r="F285" t="s">
        <v>26</v>
      </c>
      <c r="G285" s="4">
        <v>39199.599999999999</v>
      </c>
      <c r="H285" t="s">
        <v>43</v>
      </c>
      <c r="I285">
        <v>15000</v>
      </c>
      <c r="J285" s="4">
        <f t="shared" si="9"/>
        <v>3919.96</v>
      </c>
    </row>
    <row r="286" spans="1:10" x14ac:dyDescent="0.25">
      <c r="A286" s="1">
        <v>44531</v>
      </c>
      <c r="B286" t="s">
        <v>34</v>
      </c>
      <c r="C286" t="str">
        <f t="shared" si="8"/>
        <v>Annabel Mettick</v>
      </c>
      <c r="D286" t="s">
        <v>35</v>
      </c>
      <c r="E286" t="s">
        <v>36</v>
      </c>
      <c r="F286" t="s">
        <v>26</v>
      </c>
      <c r="G286" s="4">
        <v>8082.7999999999993</v>
      </c>
      <c r="H286" t="s">
        <v>11</v>
      </c>
      <c r="I286">
        <v>15000</v>
      </c>
      <c r="J286" s="4">
        <f t="shared" si="9"/>
        <v>0</v>
      </c>
    </row>
    <row r="287" spans="1:10" x14ac:dyDescent="0.25">
      <c r="A287" s="1">
        <v>44531</v>
      </c>
      <c r="B287" t="s">
        <v>50</v>
      </c>
      <c r="C287" t="str">
        <f t="shared" si="8"/>
        <v>Jason Jackaki</v>
      </c>
      <c r="D287" t="s">
        <v>51</v>
      </c>
      <c r="E287" t="s">
        <v>52</v>
      </c>
      <c r="F287" t="s">
        <v>26</v>
      </c>
      <c r="G287" s="4">
        <v>9826.4</v>
      </c>
      <c r="H287" t="s">
        <v>43</v>
      </c>
      <c r="I287">
        <v>15000</v>
      </c>
      <c r="J287" s="4">
        <f t="shared" si="9"/>
        <v>0</v>
      </c>
    </row>
    <row r="288" spans="1:10" x14ac:dyDescent="0.25">
      <c r="A288" s="1">
        <v>44531</v>
      </c>
      <c r="B288" t="s">
        <v>56</v>
      </c>
      <c r="C288" t="str">
        <f t="shared" si="8"/>
        <v>Cory Goodwin</v>
      </c>
      <c r="D288" t="s">
        <v>57</v>
      </c>
      <c r="E288" t="s">
        <v>58</v>
      </c>
      <c r="F288" t="s">
        <v>26</v>
      </c>
      <c r="G288" s="4">
        <v>12328</v>
      </c>
      <c r="H288" t="s">
        <v>15</v>
      </c>
      <c r="I288">
        <v>15000</v>
      </c>
      <c r="J288" s="4">
        <f t="shared" si="9"/>
        <v>0</v>
      </c>
    </row>
    <row r="289" spans="1:10" x14ac:dyDescent="0.25">
      <c r="A289" s="1">
        <v>44531</v>
      </c>
      <c r="B289" t="s">
        <v>34</v>
      </c>
      <c r="C289" t="str">
        <f t="shared" si="8"/>
        <v>Annabel Mettick</v>
      </c>
      <c r="D289" t="s">
        <v>35</v>
      </c>
      <c r="E289" t="s">
        <v>36</v>
      </c>
      <c r="F289" t="s">
        <v>26</v>
      </c>
      <c r="G289" s="4">
        <v>24544</v>
      </c>
      <c r="H289" t="s">
        <v>15</v>
      </c>
      <c r="I289">
        <v>15000</v>
      </c>
      <c r="J289" s="4">
        <f t="shared" si="9"/>
        <v>2454.4</v>
      </c>
    </row>
    <row r="290" spans="1:10" x14ac:dyDescent="0.25">
      <c r="A290" s="1">
        <v>44531</v>
      </c>
      <c r="B290" t="s">
        <v>23</v>
      </c>
      <c r="C290" t="str">
        <f t="shared" si="8"/>
        <v>Olivia Cheung</v>
      </c>
      <c r="D290" t="s">
        <v>24</v>
      </c>
      <c r="E290" t="s">
        <v>25</v>
      </c>
      <c r="F290" t="s">
        <v>26</v>
      </c>
      <c r="G290" s="4">
        <v>27350.400000000001</v>
      </c>
      <c r="H290" t="s">
        <v>43</v>
      </c>
      <c r="I290">
        <v>15000</v>
      </c>
      <c r="J290" s="4">
        <f t="shared" si="9"/>
        <v>2735.0400000000004</v>
      </c>
    </row>
    <row r="291" spans="1:10" x14ac:dyDescent="0.25">
      <c r="A291" s="1">
        <v>44531</v>
      </c>
      <c r="B291" t="s">
        <v>47</v>
      </c>
      <c r="C291" t="str">
        <f t="shared" si="8"/>
        <v>Emily Whelan</v>
      </c>
      <c r="D291" t="s">
        <v>48</v>
      </c>
      <c r="E291" t="s">
        <v>49</v>
      </c>
      <c r="F291" t="s">
        <v>26</v>
      </c>
      <c r="G291" s="4">
        <v>28845</v>
      </c>
      <c r="H291" t="s">
        <v>15</v>
      </c>
      <c r="I291">
        <v>15000</v>
      </c>
      <c r="J291" s="4">
        <f t="shared" si="9"/>
        <v>2884.5</v>
      </c>
    </row>
    <row r="292" spans="1:10" x14ac:dyDescent="0.25">
      <c r="A292" s="1">
        <v>44531</v>
      </c>
      <c r="B292" t="s">
        <v>23</v>
      </c>
      <c r="C292" t="str">
        <f t="shared" si="8"/>
        <v>Olivia Cheung</v>
      </c>
      <c r="D292" t="s">
        <v>24</v>
      </c>
      <c r="E292" t="s">
        <v>25</v>
      </c>
      <c r="F292" t="s">
        <v>26</v>
      </c>
      <c r="G292" s="4">
        <v>43593.599999999999</v>
      </c>
      <c r="H292" t="s">
        <v>15</v>
      </c>
      <c r="I292">
        <v>15000</v>
      </c>
      <c r="J292" s="4">
        <f t="shared" si="9"/>
        <v>4359.3599999999997</v>
      </c>
    </row>
    <row r="293" spans="1:10" x14ac:dyDescent="0.25">
      <c r="A293" s="1">
        <v>44197</v>
      </c>
      <c r="B293" t="s">
        <v>137</v>
      </c>
      <c r="C293" t="str">
        <f t="shared" si="8"/>
        <v/>
      </c>
      <c r="F293" t="s">
        <v>22</v>
      </c>
      <c r="G293" s="4">
        <v>3637.21</v>
      </c>
      <c r="H293" t="s">
        <v>11</v>
      </c>
      <c r="I293">
        <v>15000</v>
      </c>
      <c r="J293" s="4">
        <f t="shared" si="9"/>
        <v>0</v>
      </c>
    </row>
    <row r="294" spans="1:10" x14ac:dyDescent="0.25">
      <c r="A294" s="1">
        <v>44197</v>
      </c>
      <c r="B294" t="s">
        <v>137</v>
      </c>
      <c r="C294" t="str">
        <f t="shared" si="8"/>
        <v/>
      </c>
      <c r="F294" t="s">
        <v>22</v>
      </c>
      <c r="G294" s="4">
        <v>3918.6</v>
      </c>
      <c r="H294" t="s">
        <v>15</v>
      </c>
      <c r="I294">
        <v>15000</v>
      </c>
      <c r="J294" s="4">
        <f t="shared" si="9"/>
        <v>0</v>
      </c>
    </row>
    <row r="295" spans="1:10" x14ac:dyDescent="0.25">
      <c r="A295" s="1">
        <v>44197</v>
      </c>
      <c r="B295" t="s">
        <v>137</v>
      </c>
      <c r="C295" t="str">
        <f t="shared" si="8"/>
        <v/>
      </c>
      <c r="F295" t="s">
        <v>22</v>
      </c>
      <c r="G295" s="4">
        <v>694.54</v>
      </c>
      <c r="H295" t="s">
        <v>43</v>
      </c>
      <c r="I295">
        <v>15000</v>
      </c>
      <c r="J295" s="4">
        <f t="shared" si="9"/>
        <v>0</v>
      </c>
    </row>
    <row r="296" spans="1:10" x14ac:dyDescent="0.25">
      <c r="A296" s="1">
        <v>44197</v>
      </c>
      <c r="B296" t="s">
        <v>137</v>
      </c>
      <c r="C296" t="str">
        <f t="shared" si="8"/>
        <v/>
      </c>
      <c r="F296" t="s">
        <v>22</v>
      </c>
      <c r="G296" s="4">
        <v>3112.72</v>
      </c>
      <c r="H296" t="s">
        <v>43</v>
      </c>
      <c r="I296">
        <v>15000</v>
      </c>
      <c r="J296" s="4">
        <f t="shared" si="9"/>
        <v>0</v>
      </c>
    </row>
    <row r="297" spans="1:10" x14ac:dyDescent="0.25">
      <c r="A297" s="1">
        <v>44197</v>
      </c>
      <c r="B297" t="s">
        <v>137</v>
      </c>
      <c r="C297" t="str">
        <f t="shared" si="8"/>
        <v/>
      </c>
      <c r="F297" t="s">
        <v>22</v>
      </c>
      <c r="G297" s="4">
        <v>1001.92</v>
      </c>
      <c r="H297" t="s">
        <v>43</v>
      </c>
      <c r="I297">
        <v>15000</v>
      </c>
      <c r="J297" s="4">
        <f t="shared" si="9"/>
        <v>0</v>
      </c>
    </row>
    <row r="298" spans="1:10" x14ac:dyDescent="0.25">
      <c r="A298" s="1">
        <v>44197</v>
      </c>
      <c r="B298" t="s">
        <v>137</v>
      </c>
      <c r="C298" t="str">
        <f t="shared" si="8"/>
        <v/>
      </c>
      <c r="F298" t="s">
        <v>22</v>
      </c>
      <c r="G298" s="4">
        <v>1638.5600000000002</v>
      </c>
      <c r="H298" t="s">
        <v>11</v>
      </c>
      <c r="I298">
        <v>15000</v>
      </c>
      <c r="J298" s="4">
        <f t="shared" si="9"/>
        <v>0</v>
      </c>
    </row>
    <row r="299" spans="1:10" x14ac:dyDescent="0.25">
      <c r="A299" s="1">
        <v>44197</v>
      </c>
      <c r="B299" t="s">
        <v>137</v>
      </c>
      <c r="C299" t="str">
        <f t="shared" si="8"/>
        <v/>
      </c>
      <c r="F299" t="s">
        <v>22</v>
      </c>
      <c r="G299" s="4">
        <v>1910.8</v>
      </c>
      <c r="H299" t="s">
        <v>15</v>
      </c>
      <c r="I299">
        <v>15000</v>
      </c>
      <c r="J299" s="4">
        <f t="shared" si="9"/>
        <v>0</v>
      </c>
    </row>
    <row r="300" spans="1:10" x14ac:dyDescent="0.25">
      <c r="A300" s="1">
        <v>44197</v>
      </c>
      <c r="B300" t="s">
        <v>137</v>
      </c>
      <c r="C300" t="str">
        <f t="shared" si="8"/>
        <v/>
      </c>
      <c r="F300" t="s">
        <v>22</v>
      </c>
      <c r="G300" s="4">
        <v>765.82</v>
      </c>
      <c r="H300" t="s">
        <v>43</v>
      </c>
      <c r="I300">
        <v>15000</v>
      </c>
      <c r="J300" s="4">
        <f t="shared" si="9"/>
        <v>0</v>
      </c>
    </row>
    <row r="301" spans="1:10" x14ac:dyDescent="0.25">
      <c r="A301" s="1">
        <v>44197</v>
      </c>
      <c r="B301" t="s">
        <v>137</v>
      </c>
      <c r="C301" t="str">
        <f t="shared" si="8"/>
        <v/>
      </c>
      <c r="F301" t="s">
        <v>22</v>
      </c>
      <c r="G301" s="4">
        <v>765.8599999999999</v>
      </c>
      <c r="H301" t="s">
        <v>15</v>
      </c>
      <c r="I301">
        <v>15000</v>
      </c>
      <c r="J301" s="4">
        <f t="shared" si="9"/>
        <v>0</v>
      </c>
    </row>
    <row r="302" spans="1:10" x14ac:dyDescent="0.25">
      <c r="A302" s="1">
        <v>44197</v>
      </c>
      <c r="B302" t="s">
        <v>137</v>
      </c>
      <c r="C302" t="str">
        <f t="shared" si="8"/>
        <v/>
      </c>
      <c r="F302" t="s">
        <v>22</v>
      </c>
      <c r="G302" s="4">
        <v>4671.5999999999995</v>
      </c>
      <c r="H302" t="s">
        <v>11</v>
      </c>
      <c r="I302">
        <v>15000</v>
      </c>
      <c r="J302" s="4">
        <f t="shared" si="9"/>
        <v>0</v>
      </c>
    </row>
    <row r="303" spans="1:10" x14ac:dyDescent="0.25">
      <c r="A303" s="1">
        <v>44197</v>
      </c>
      <c r="B303" t="s">
        <v>137</v>
      </c>
      <c r="C303" t="str">
        <f t="shared" si="8"/>
        <v/>
      </c>
      <c r="F303" t="s">
        <v>22</v>
      </c>
      <c r="G303" s="4">
        <v>1945.6</v>
      </c>
      <c r="H303" t="s">
        <v>11</v>
      </c>
      <c r="I303">
        <v>15000</v>
      </c>
      <c r="J303" s="4">
        <f t="shared" si="9"/>
        <v>0</v>
      </c>
    </row>
    <row r="304" spans="1:10" x14ac:dyDescent="0.25">
      <c r="A304" s="1">
        <v>44197</v>
      </c>
      <c r="B304" t="s">
        <v>137</v>
      </c>
      <c r="C304" t="str">
        <f t="shared" si="8"/>
        <v/>
      </c>
      <c r="F304" t="s">
        <v>22</v>
      </c>
      <c r="G304" s="4">
        <v>1017.6</v>
      </c>
      <c r="H304" t="s">
        <v>15</v>
      </c>
      <c r="I304">
        <v>15000</v>
      </c>
      <c r="J304" s="4">
        <f t="shared" si="9"/>
        <v>0</v>
      </c>
    </row>
    <row r="305" spans="1:10" x14ac:dyDescent="0.25">
      <c r="A305" s="1">
        <v>44197</v>
      </c>
      <c r="B305" t="s">
        <v>137</v>
      </c>
      <c r="C305" t="str">
        <f t="shared" si="8"/>
        <v/>
      </c>
      <c r="F305" t="s">
        <v>22</v>
      </c>
      <c r="G305" s="4">
        <v>909.86</v>
      </c>
      <c r="H305" t="s">
        <v>43</v>
      </c>
      <c r="I305">
        <v>15000</v>
      </c>
      <c r="J305" s="4">
        <f t="shared" si="9"/>
        <v>0</v>
      </c>
    </row>
    <row r="306" spans="1:10" x14ac:dyDescent="0.25">
      <c r="A306" s="1">
        <v>44197</v>
      </c>
      <c r="B306" t="s">
        <v>19</v>
      </c>
      <c r="C306" t="str">
        <f t="shared" si="8"/>
        <v>Nina McDonald</v>
      </c>
      <c r="D306" t="s">
        <v>20</v>
      </c>
      <c r="E306" t="s">
        <v>21</v>
      </c>
      <c r="F306" t="s">
        <v>22</v>
      </c>
      <c r="G306" s="4">
        <v>6945.4</v>
      </c>
      <c r="H306" t="s">
        <v>43</v>
      </c>
      <c r="I306">
        <v>15000</v>
      </c>
      <c r="J306" s="4">
        <f t="shared" si="9"/>
        <v>0</v>
      </c>
    </row>
    <row r="307" spans="1:10" x14ac:dyDescent="0.25">
      <c r="A307" s="1">
        <v>44197</v>
      </c>
      <c r="B307" t="s">
        <v>19</v>
      </c>
      <c r="C307" t="str">
        <f t="shared" si="8"/>
        <v>Nina McDonald</v>
      </c>
      <c r="D307" t="s">
        <v>20</v>
      </c>
      <c r="E307" t="s">
        <v>21</v>
      </c>
      <c r="F307" t="s">
        <v>22</v>
      </c>
      <c r="G307" s="4">
        <v>7658.2000000000007</v>
      </c>
      <c r="H307" t="s">
        <v>43</v>
      </c>
      <c r="I307">
        <v>15000</v>
      </c>
      <c r="J307" s="4">
        <f t="shared" si="9"/>
        <v>0</v>
      </c>
    </row>
    <row r="308" spans="1:10" x14ac:dyDescent="0.25">
      <c r="A308" s="1">
        <v>44197</v>
      </c>
      <c r="B308" t="s">
        <v>44</v>
      </c>
      <c r="C308" t="str">
        <f t="shared" si="8"/>
        <v>Ally Bryant</v>
      </c>
      <c r="D308" t="s">
        <v>45</v>
      </c>
      <c r="E308" t="s">
        <v>46</v>
      </c>
      <c r="F308" t="s">
        <v>22</v>
      </c>
      <c r="G308" s="4">
        <v>7658.5999999999985</v>
      </c>
      <c r="H308" t="s">
        <v>15</v>
      </c>
      <c r="I308">
        <v>15000</v>
      </c>
      <c r="J308" s="4">
        <f t="shared" si="9"/>
        <v>0</v>
      </c>
    </row>
    <row r="309" spans="1:10" x14ac:dyDescent="0.25">
      <c r="A309" s="1">
        <v>44197</v>
      </c>
      <c r="B309" t="s">
        <v>53</v>
      </c>
      <c r="C309" t="str">
        <f t="shared" si="8"/>
        <v>Josh Sutherland</v>
      </c>
      <c r="D309" t="s">
        <v>54</v>
      </c>
      <c r="E309" t="s">
        <v>55</v>
      </c>
      <c r="F309" t="s">
        <v>22</v>
      </c>
      <c r="G309" s="4">
        <v>9098.6</v>
      </c>
      <c r="H309" t="s">
        <v>43</v>
      </c>
      <c r="I309">
        <v>15000</v>
      </c>
      <c r="J309" s="4">
        <f t="shared" si="9"/>
        <v>0</v>
      </c>
    </row>
    <row r="310" spans="1:10" x14ac:dyDescent="0.25">
      <c r="A310" s="1">
        <v>44197</v>
      </c>
      <c r="B310" t="s">
        <v>19</v>
      </c>
      <c r="C310" t="str">
        <f t="shared" si="8"/>
        <v>Nina McDonald</v>
      </c>
      <c r="D310" t="s">
        <v>20</v>
      </c>
      <c r="E310" t="s">
        <v>21</v>
      </c>
      <c r="F310" t="s">
        <v>22</v>
      </c>
      <c r="G310" s="4">
        <v>10019.199999999999</v>
      </c>
      <c r="H310" t="s">
        <v>43</v>
      </c>
      <c r="I310">
        <v>15000</v>
      </c>
      <c r="J310" s="4">
        <f t="shared" si="9"/>
        <v>0</v>
      </c>
    </row>
    <row r="311" spans="1:10" x14ac:dyDescent="0.25">
      <c r="A311" s="1">
        <v>44197</v>
      </c>
      <c r="B311" t="s">
        <v>44</v>
      </c>
      <c r="C311" t="str">
        <f t="shared" si="8"/>
        <v>Ally Bryant</v>
      </c>
      <c r="D311" t="s">
        <v>45</v>
      </c>
      <c r="E311" t="s">
        <v>46</v>
      </c>
      <c r="F311" t="s">
        <v>22</v>
      </c>
      <c r="G311" s="4">
        <v>10176</v>
      </c>
      <c r="H311" t="s">
        <v>15</v>
      </c>
      <c r="I311">
        <v>15000</v>
      </c>
      <c r="J311" s="4">
        <f t="shared" si="9"/>
        <v>0</v>
      </c>
    </row>
    <row r="312" spans="1:10" x14ac:dyDescent="0.25">
      <c r="A312" s="1">
        <v>44197</v>
      </c>
      <c r="B312" t="s">
        <v>53</v>
      </c>
      <c r="C312" t="str">
        <f t="shared" si="8"/>
        <v>Josh Sutherland</v>
      </c>
      <c r="D312" t="s">
        <v>54</v>
      </c>
      <c r="E312" t="s">
        <v>55</v>
      </c>
      <c r="F312" t="s">
        <v>22</v>
      </c>
      <c r="G312" s="4">
        <v>16385.600000000002</v>
      </c>
      <c r="H312" t="s">
        <v>11</v>
      </c>
      <c r="I312">
        <v>15000</v>
      </c>
      <c r="J312" s="4">
        <f t="shared" si="9"/>
        <v>1638.5600000000004</v>
      </c>
    </row>
    <row r="313" spans="1:10" x14ac:dyDescent="0.25">
      <c r="A313" s="1">
        <v>44197</v>
      </c>
      <c r="B313" t="s">
        <v>44</v>
      </c>
      <c r="C313" t="str">
        <f t="shared" si="8"/>
        <v>Ally Bryant</v>
      </c>
      <c r="D313" t="s">
        <v>45</v>
      </c>
      <c r="E313" t="s">
        <v>46</v>
      </c>
      <c r="F313" t="s">
        <v>22</v>
      </c>
      <c r="G313" s="4">
        <v>19108</v>
      </c>
      <c r="H313" t="s">
        <v>15</v>
      </c>
      <c r="I313">
        <v>15000</v>
      </c>
      <c r="J313" s="4">
        <f t="shared" si="9"/>
        <v>1910.8000000000002</v>
      </c>
    </row>
    <row r="314" spans="1:10" x14ac:dyDescent="0.25">
      <c r="A314" s="1">
        <v>44197</v>
      </c>
      <c r="B314" t="s">
        <v>19</v>
      </c>
      <c r="C314" t="str">
        <f t="shared" si="8"/>
        <v>Nina McDonald</v>
      </c>
      <c r="D314" t="s">
        <v>20</v>
      </c>
      <c r="E314" t="s">
        <v>21</v>
      </c>
      <c r="F314" t="s">
        <v>22</v>
      </c>
      <c r="G314" s="4">
        <v>19456</v>
      </c>
      <c r="H314" t="s">
        <v>11</v>
      </c>
      <c r="I314">
        <v>15000</v>
      </c>
      <c r="J314" s="4">
        <f t="shared" si="9"/>
        <v>1945.6000000000001</v>
      </c>
    </row>
    <row r="315" spans="1:10" x14ac:dyDescent="0.25">
      <c r="A315" s="1">
        <v>44197</v>
      </c>
      <c r="B315" t="s">
        <v>65</v>
      </c>
      <c r="C315" t="str">
        <f t="shared" si="8"/>
        <v>Spencer Cruz</v>
      </c>
      <c r="D315" t="s">
        <v>66</v>
      </c>
      <c r="E315" t="s">
        <v>67</v>
      </c>
      <c r="F315" t="s">
        <v>22</v>
      </c>
      <c r="G315" s="4">
        <v>31127.199999999997</v>
      </c>
      <c r="H315" t="s">
        <v>43</v>
      </c>
      <c r="I315">
        <v>15000</v>
      </c>
      <c r="J315" s="4">
        <f t="shared" si="9"/>
        <v>3112.72</v>
      </c>
    </row>
    <row r="316" spans="1:10" x14ac:dyDescent="0.25">
      <c r="A316" s="1">
        <v>44197</v>
      </c>
      <c r="B316" t="s">
        <v>65</v>
      </c>
      <c r="C316" t="str">
        <f t="shared" si="8"/>
        <v>Spencer Cruz</v>
      </c>
      <c r="D316" t="s">
        <v>66</v>
      </c>
      <c r="E316" t="s">
        <v>67</v>
      </c>
      <c r="F316" t="s">
        <v>22</v>
      </c>
      <c r="G316" s="4">
        <v>36372.1</v>
      </c>
      <c r="H316" t="s">
        <v>11</v>
      </c>
      <c r="I316">
        <v>15000</v>
      </c>
      <c r="J316" s="4">
        <f t="shared" si="9"/>
        <v>3637.21</v>
      </c>
    </row>
    <row r="317" spans="1:10" x14ac:dyDescent="0.25">
      <c r="A317" s="1">
        <v>44197</v>
      </c>
      <c r="B317" t="s">
        <v>44</v>
      </c>
      <c r="C317" t="str">
        <f t="shared" si="8"/>
        <v>Ally Bryant</v>
      </c>
      <c r="D317" t="s">
        <v>45</v>
      </c>
      <c r="E317" t="s">
        <v>46</v>
      </c>
      <c r="F317" t="s">
        <v>22</v>
      </c>
      <c r="G317" s="4">
        <v>39186</v>
      </c>
      <c r="H317" t="s">
        <v>15</v>
      </c>
      <c r="I317">
        <v>15000</v>
      </c>
      <c r="J317" s="4">
        <f t="shared" si="9"/>
        <v>3918.6000000000004</v>
      </c>
    </row>
    <row r="318" spans="1:10" x14ac:dyDescent="0.25">
      <c r="A318" s="1">
        <v>44197</v>
      </c>
      <c r="B318" t="s">
        <v>65</v>
      </c>
      <c r="C318" t="str">
        <f t="shared" si="8"/>
        <v>Spencer Cruz</v>
      </c>
      <c r="D318" t="s">
        <v>66</v>
      </c>
      <c r="E318" t="s">
        <v>67</v>
      </c>
      <c r="F318" t="s">
        <v>22</v>
      </c>
      <c r="G318" s="4">
        <v>46715.999999999993</v>
      </c>
      <c r="H318" t="s">
        <v>11</v>
      </c>
      <c r="I318">
        <v>15000</v>
      </c>
      <c r="J318" s="4">
        <f t="shared" si="9"/>
        <v>4671.5999999999995</v>
      </c>
    </row>
    <row r="319" spans="1:10" x14ac:dyDescent="0.25">
      <c r="A319" s="1">
        <v>44228</v>
      </c>
      <c r="B319" t="s">
        <v>137</v>
      </c>
      <c r="C319" t="str">
        <f t="shared" si="8"/>
        <v/>
      </c>
      <c r="F319" t="s">
        <v>22</v>
      </c>
      <c r="G319" s="4">
        <v>734.32</v>
      </c>
      <c r="H319" t="s">
        <v>15</v>
      </c>
      <c r="I319">
        <v>15000</v>
      </c>
      <c r="J319" s="4">
        <f t="shared" si="9"/>
        <v>0</v>
      </c>
    </row>
    <row r="320" spans="1:10" x14ac:dyDescent="0.25">
      <c r="A320" s="1">
        <v>44228</v>
      </c>
      <c r="B320" t="s">
        <v>137</v>
      </c>
      <c r="C320" t="str">
        <f t="shared" si="8"/>
        <v/>
      </c>
      <c r="F320" t="s">
        <v>22</v>
      </c>
      <c r="G320" s="4">
        <v>2839.55</v>
      </c>
      <c r="H320" t="s">
        <v>43</v>
      </c>
      <c r="I320">
        <v>15000</v>
      </c>
      <c r="J320" s="4">
        <f t="shared" si="9"/>
        <v>0</v>
      </c>
    </row>
    <row r="321" spans="1:10" x14ac:dyDescent="0.25">
      <c r="A321" s="1">
        <v>44228</v>
      </c>
      <c r="B321" t="s">
        <v>137</v>
      </c>
      <c r="C321" t="str">
        <f t="shared" si="8"/>
        <v/>
      </c>
      <c r="F321" t="s">
        <v>22</v>
      </c>
      <c r="G321" s="4">
        <v>453.09999999999997</v>
      </c>
      <c r="H321" t="s">
        <v>43</v>
      </c>
      <c r="I321">
        <v>15000</v>
      </c>
      <c r="J321" s="4">
        <f t="shared" si="9"/>
        <v>0</v>
      </c>
    </row>
    <row r="322" spans="1:10" x14ac:dyDescent="0.25">
      <c r="A322" s="1">
        <v>44228</v>
      </c>
      <c r="B322" t="s">
        <v>137</v>
      </c>
      <c r="C322" t="str">
        <f t="shared" si="8"/>
        <v/>
      </c>
      <c r="F322" t="s">
        <v>22</v>
      </c>
      <c r="G322" s="4">
        <v>1774.8</v>
      </c>
      <c r="H322" t="s">
        <v>11</v>
      </c>
      <c r="I322">
        <v>15000</v>
      </c>
      <c r="J322" s="4">
        <f t="shared" si="9"/>
        <v>0</v>
      </c>
    </row>
    <row r="323" spans="1:10" x14ac:dyDescent="0.25">
      <c r="A323" s="1">
        <v>44228</v>
      </c>
      <c r="B323" t="s">
        <v>137</v>
      </c>
      <c r="C323" t="str">
        <f t="shared" ref="C323:C386" si="10">TRIM(B323)</f>
        <v/>
      </c>
      <c r="F323" t="s">
        <v>22</v>
      </c>
      <c r="G323" s="4">
        <v>735.66</v>
      </c>
      <c r="H323" t="s">
        <v>11</v>
      </c>
      <c r="I323">
        <v>15000</v>
      </c>
      <c r="J323" s="4">
        <f t="shared" ref="J323:J386" si="11">IF(G323&gt;=I323,G323*$L$2,0)</f>
        <v>0</v>
      </c>
    </row>
    <row r="324" spans="1:10" x14ac:dyDescent="0.25">
      <c r="A324" s="1">
        <v>44228</v>
      </c>
      <c r="B324" t="s">
        <v>137</v>
      </c>
      <c r="C324" t="str">
        <f t="shared" si="10"/>
        <v/>
      </c>
      <c r="F324" t="s">
        <v>22</v>
      </c>
      <c r="G324" s="4">
        <v>675.18</v>
      </c>
      <c r="H324" t="s">
        <v>15</v>
      </c>
      <c r="I324">
        <v>15000</v>
      </c>
      <c r="J324" s="4">
        <f t="shared" si="11"/>
        <v>0</v>
      </c>
    </row>
    <row r="325" spans="1:10" x14ac:dyDescent="0.25">
      <c r="A325" s="1">
        <v>44228</v>
      </c>
      <c r="B325" t="s">
        <v>137</v>
      </c>
      <c r="C325" t="str">
        <f t="shared" si="10"/>
        <v/>
      </c>
      <c r="F325" t="s">
        <v>22</v>
      </c>
      <c r="G325" s="4">
        <v>4142.95</v>
      </c>
      <c r="H325" t="s">
        <v>15</v>
      </c>
      <c r="I325">
        <v>15000</v>
      </c>
      <c r="J325" s="4">
        <f t="shared" si="11"/>
        <v>0</v>
      </c>
    </row>
    <row r="326" spans="1:10" x14ac:dyDescent="0.25">
      <c r="A326" s="1">
        <v>44228</v>
      </c>
      <c r="B326" t="s">
        <v>19</v>
      </c>
      <c r="C326" t="str">
        <f t="shared" si="10"/>
        <v>Nina McDonald</v>
      </c>
      <c r="D326" t="s">
        <v>20</v>
      </c>
      <c r="E326" t="s">
        <v>21</v>
      </c>
      <c r="F326" t="s">
        <v>22</v>
      </c>
      <c r="G326" s="4">
        <v>4531</v>
      </c>
      <c r="H326" t="s">
        <v>43</v>
      </c>
      <c r="I326">
        <v>15000</v>
      </c>
      <c r="J326" s="4">
        <f t="shared" si="11"/>
        <v>0</v>
      </c>
    </row>
    <row r="327" spans="1:10" x14ac:dyDescent="0.25">
      <c r="A327" s="1">
        <v>44228</v>
      </c>
      <c r="B327" t="s">
        <v>37</v>
      </c>
      <c r="C327" t="str">
        <f t="shared" si="10"/>
        <v>Tia Cruise</v>
      </c>
      <c r="D327" t="s">
        <v>38</v>
      </c>
      <c r="E327" t="s">
        <v>39</v>
      </c>
      <c r="F327" t="s">
        <v>22</v>
      </c>
      <c r="G327" s="4">
        <v>6751.7999999999993</v>
      </c>
      <c r="H327" t="s">
        <v>15</v>
      </c>
      <c r="I327">
        <v>15000</v>
      </c>
      <c r="J327" s="4">
        <f t="shared" si="11"/>
        <v>0</v>
      </c>
    </row>
    <row r="328" spans="1:10" x14ac:dyDescent="0.25">
      <c r="A328" s="1">
        <v>44228</v>
      </c>
      <c r="B328" t="s">
        <v>19</v>
      </c>
      <c r="C328" t="str">
        <f t="shared" si="10"/>
        <v>Nina McDonald</v>
      </c>
      <c r="D328" t="s">
        <v>20</v>
      </c>
      <c r="E328" t="s">
        <v>21</v>
      </c>
      <c r="F328" t="s">
        <v>22</v>
      </c>
      <c r="G328" s="4">
        <v>7343.2000000000007</v>
      </c>
      <c r="H328" t="s">
        <v>15</v>
      </c>
      <c r="I328">
        <v>15000</v>
      </c>
      <c r="J328" s="4">
        <f t="shared" si="11"/>
        <v>0</v>
      </c>
    </row>
    <row r="329" spans="1:10" x14ac:dyDescent="0.25">
      <c r="A329" s="1">
        <v>44228</v>
      </c>
      <c r="B329" t="s">
        <v>19</v>
      </c>
      <c r="C329" t="str">
        <f t="shared" si="10"/>
        <v>Nina McDonald</v>
      </c>
      <c r="D329" t="s">
        <v>20</v>
      </c>
      <c r="E329" t="s">
        <v>21</v>
      </c>
      <c r="F329" t="s">
        <v>22</v>
      </c>
      <c r="G329" s="4">
        <v>7356.5999999999995</v>
      </c>
      <c r="H329" t="s">
        <v>11</v>
      </c>
      <c r="I329">
        <v>15000</v>
      </c>
      <c r="J329" s="4">
        <f t="shared" si="11"/>
        <v>0</v>
      </c>
    </row>
    <row r="330" spans="1:10" x14ac:dyDescent="0.25">
      <c r="A330" s="1">
        <v>44228</v>
      </c>
      <c r="B330" t="s">
        <v>37</v>
      </c>
      <c r="C330" t="str">
        <f t="shared" si="10"/>
        <v>Tia Cruise</v>
      </c>
      <c r="D330" t="s">
        <v>38</v>
      </c>
      <c r="E330" t="s">
        <v>39</v>
      </c>
      <c r="F330" t="s">
        <v>22</v>
      </c>
      <c r="G330" s="4">
        <v>17748</v>
      </c>
      <c r="H330" t="s">
        <v>11</v>
      </c>
      <c r="I330">
        <v>15000</v>
      </c>
      <c r="J330" s="4">
        <f t="shared" si="11"/>
        <v>1774.8000000000002</v>
      </c>
    </row>
    <row r="331" spans="1:10" x14ac:dyDescent="0.25">
      <c r="A331" s="1">
        <v>44228</v>
      </c>
      <c r="B331" t="s">
        <v>19</v>
      </c>
      <c r="C331" t="str">
        <f t="shared" si="10"/>
        <v>Nina McDonald</v>
      </c>
      <c r="D331" t="s">
        <v>20</v>
      </c>
      <c r="E331" t="s">
        <v>21</v>
      </c>
      <c r="F331" t="s">
        <v>22</v>
      </c>
      <c r="G331" s="4">
        <v>28395.5</v>
      </c>
      <c r="H331" t="s">
        <v>43</v>
      </c>
      <c r="I331">
        <v>15000</v>
      </c>
      <c r="J331" s="4">
        <f t="shared" si="11"/>
        <v>2839.55</v>
      </c>
    </row>
    <row r="332" spans="1:10" x14ac:dyDescent="0.25">
      <c r="A332" s="1">
        <v>44228</v>
      </c>
      <c r="B332" t="s">
        <v>44</v>
      </c>
      <c r="C332" t="str">
        <f t="shared" si="10"/>
        <v>Ally Bryant</v>
      </c>
      <c r="D332" t="s">
        <v>45</v>
      </c>
      <c r="E332" t="s">
        <v>46</v>
      </c>
      <c r="F332" t="s">
        <v>22</v>
      </c>
      <c r="G332" s="4">
        <v>41429.5</v>
      </c>
      <c r="H332" t="s">
        <v>15</v>
      </c>
      <c r="I332">
        <v>15000</v>
      </c>
      <c r="J332" s="4">
        <f t="shared" si="11"/>
        <v>4142.95</v>
      </c>
    </row>
    <row r="333" spans="1:10" x14ac:dyDescent="0.25">
      <c r="A333" s="1">
        <v>44256</v>
      </c>
      <c r="B333" t="s">
        <v>137</v>
      </c>
      <c r="C333" t="str">
        <f t="shared" si="10"/>
        <v/>
      </c>
      <c r="F333" t="s">
        <v>22</v>
      </c>
      <c r="G333" s="4">
        <v>1045.1199999999999</v>
      </c>
      <c r="H333" t="s">
        <v>11</v>
      </c>
      <c r="I333">
        <v>15000</v>
      </c>
      <c r="J333" s="4">
        <f t="shared" si="11"/>
        <v>0</v>
      </c>
    </row>
    <row r="334" spans="1:10" x14ac:dyDescent="0.25">
      <c r="A334" s="1">
        <v>44256</v>
      </c>
      <c r="B334" t="s">
        <v>137</v>
      </c>
      <c r="C334" t="str">
        <f t="shared" si="10"/>
        <v/>
      </c>
      <c r="F334" t="s">
        <v>22</v>
      </c>
      <c r="G334" s="4">
        <v>1432.95</v>
      </c>
      <c r="H334" t="s">
        <v>11</v>
      </c>
      <c r="I334">
        <v>15000</v>
      </c>
      <c r="J334" s="4">
        <f t="shared" si="11"/>
        <v>0</v>
      </c>
    </row>
    <row r="335" spans="1:10" x14ac:dyDescent="0.25">
      <c r="A335" s="1">
        <v>44256</v>
      </c>
      <c r="B335" t="s">
        <v>137</v>
      </c>
      <c r="C335" t="str">
        <f t="shared" si="10"/>
        <v/>
      </c>
      <c r="F335" t="s">
        <v>22</v>
      </c>
      <c r="G335" s="4">
        <v>3140.7</v>
      </c>
      <c r="H335" t="s">
        <v>15</v>
      </c>
      <c r="I335">
        <v>15000</v>
      </c>
      <c r="J335" s="4">
        <f t="shared" si="11"/>
        <v>0</v>
      </c>
    </row>
    <row r="336" spans="1:10" x14ac:dyDescent="0.25">
      <c r="A336" s="1">
        <v>44256</v>
      </c>
      <c r="B336" t="s">
        <v>137</v>
      </c>
      <c r="C336" t="str">
        <f t="shared" si="10"/>
        <v/>
      </c>
      <c r="F336" t="s">
        <v>22</v>
      </c>
      <c r="G336" s="4">
        <v>869.4</v>
      </c>
      <c r="H336" t="s">
        <v>11</v>
      </c>
      <c r="I336">
        <v>15000</v>
      </c>
      <c r="J336" s="4">
        <f t="shared" si="11"/>
        <v>0</v>
      </c>
    </row>
    <row r="337" spans="1:10" x14ac:dyDescent="0.25">
      <c r="A337" s="1">
        <v>44256</v>
      </c>
      <c r="B337" t="s">
        <v>137</v>
      </c>
      <c r="C337" t="str">
        <f t="shared" si="10"/>
        <v/>
      </c>
      <c r="F337" t="s">
        <v>22</v>
      </c>
      <c r="G337" s="4">
        <v>3564.75</v>
      </c>
      <c r="H337" t="s">
        <v>43</v>
      </c>
      <c r="I337">
        <v>15000</v>
      </c>
      <c r="J337" s="4">
        <f t="shared" si="11"/>
        <v>0</v>
      </c>
    </row>
    <row r="338" spans="1:10" x14ac:dyDescent="0.25">
      <c r="A338" s="1">
        <v>44256</v>
      </c>
      <c r="B338" t="s">
        <v>137</v>
      </c>
      <c r="C338" t="str">
        <f t="shared" si="10"/>
        <v/>
      </c>
      <c r="F338" t="s">
        <v>22</v>
      </c>
      <c r="G338" s="4">
        <v>911.6</v>
      </c>
      <c r="H338" t="s">
        <v>11</v>
      </c>
      <c r="I338">
        <v>15000</v>
      </c>
      <c r="J338" s="4">
        <f t="shared" si="11"/>
        <v>0</v>
      </c>
    </row>
    <row r="339" spans="1:10" x14ac:dyDescent="0.25">
      <c r="A339" s="1">
        <v>44256</v>
      </c>
      <c r="B339" t="s">
        <v>137</v>
      </c>
      <c r="C339" t="str">
        <f t="shared" si="10"/>
        <v/>
      </c>
      <c r="F339" t="s">
        <v>22</v>
      </c>
      <c r="G339" s="4">
        <v>1011.0299999999999</v>
      </c>
      <c r="H339" t="s">
        <v>11</v>
      </c>
      <c r="I339">
        <v>15000</v>
      </c>
      <c r="J339" s="4">
        <f t="shared" si="11"/>
        <v>0</v>
      </c>
    </row>
    <row r="340" spans="1:10" x14ac:dyDescent="0.25">
      <c r="A340" s="1">
        <v>44256</v>
      </c>
      <c r="B340" t="s">
        <v>137</v>
      </c>
      <c r="C340" t="str">
        <f t="shared" si="10"/>
        <v/>
      </c>
      <c r="F340" t="s">
        <v>22</v>
      </c>
      <c r="G340" s="4">
        <v>2795.68</v>
      </c>
      <c r="H340" t="s">
        <v>15</v>
      </c>
      <c r="I340">
        <v>15000</v>
      </c>
      <c r="J340" s="4">
        <f t="shared" si="11"/>
        <v>0</v>
      </c>
    </row>
    <row r="341" spans="1:10" x14ac:dyDescent="0.25">
      <c r="A341" s="1">
        <v>44256</v>
      </c>
      <c r="B341" t="s">
        <v>137</v>
      </c>
      <c r="C341" t="str">
        <f t="shared" si="10"/>
        <v/>
      </c>
      <c r="F341" t="s">
        <v>22</v>
      </c>
      <c r="G341" s="4">
        <v>2767.09</v>
      </c>
      <c r="H341" t="s">
        <v>43</v>
      </c>
      <c r="I341">
        <v>15000</v>
      </c>
      <c r="J341" s="4">
        <f t="shared" si="11"/>
        <v>0</v>
      </c>
    </row>
    <row r="342" spans="1:10" x14ac:dyDescent="0.25">
      <c r="A342" s="1">
        <v>44256</v>
      </c>
      <c r="B342" t="s">
        <v>137</v>
      </c>
      <c r="C342" t="str">
        <f t="shared" si="10"/>
        <v/>
      </c>
      <c r="F342" t="s">
        <v>22</v>
      </c>
      <c r="G342" s="4">
        <v>798.27</v>
      </c>
      <c r="H342" t="s">
        <v>43</v>
      </c>
      <c r="I342">
        <v>15000</v>
      </c>
      <c r="J342" s="4">
        <f t="shared" si="11"/>
        <v>0</v>
      </c>
    </row>
    <row r="343" spans="1:10" x14ac:dyDescent="0.25">
      <c r="A343" s="1">
        <v>44256</v>
      </c>
      <c r="B343" t="s">
        <v>137</v>
      </c>
      <c r="C343" t="str">
        <f t="shared" si="10"/>
        <v/>
      </c>
      <c r="F343" t="s">
        <v>22</v>
      </c>
      <c r="G343" s="4">
        <v>2510.2399999999998</v>
      </c>
      <c r="H343" t="s">
        <v>15</v>
      </c>
      <c r="I343">
        <v>15000</v>
      </c>
      <c r="J343" s="4">
        <f t="shared" si="11"/>
        <v>0</v>
      </c>
    </row>
    <row r="344" spans="1:10" x14ac:dyDescent="0.25">
      <c r="A344" s="1">
        <v>44256</v>
      </c>
      <c r="B344" t="s">
        <v>137</v>
      </c>
      <c r="C344" t="str">
        <f t="shared" si="10"/>
        <v/>
      </c>
      <c r="F344" t="s">
        <v>22</v>
      </c>
      <c r="G344" s="4">
        <v>3690.7200000000003</v>
      </c>
      <c r="H344" t="s">
        <v>15</v>
      </c>
      <c r="I344">
        <v>15000</v>
      </c>
      <c r="J344" s="4">
        <f t="shared" si="11"/>
        <v>0</v>
      </c>
    </row>
    <row r="345" spans="1:10" x14ac:dyDescent="0.25">
      <c r="A345" s="1">
        <v>44256</v>
      </c>
      <c r="B345" t="s">
        <v>137</v>
      </c>
      <c r="C345" t="str">
        <f t="shared" si="10"/>
        <v/>
      </c>
      <c r="F345" t="s">
        <v>22</v>
      </c>
      <c r="G345" s="4">
        <v>670.89</v>
      </c>
      <c r="H345" t="s">
        <v>43</v>
      </c>
      <c r="I345">
        <v>15000</v>
      </c>
      <c r="J345" s="4">
        <f t="shared" si="11"/>
        <v>0</v>
      </c>
    </row>
    <row r="346" spans="1:10" x14ac:dyDescent="0.25">
      <c r="A346" s="1">
        <v>44256</v>
      </c>
      <c r="B346" t="s">
        <v>137</v>
      </c>
      <c r="C346" t="str">
        <f t="shared" si="10"/>
        <v/>
      </c>
      <c r="F346" t="s">
        <v>22</v>
      </c>
      <c r="G346" s="4">
        <v>2012.8</v>
      </c>
      <c r="H346" t="s">
        <v>43</v>
      </c>
      <c r="I346">
        <v>15000</v>
      </c>
      <c r="J346" s="4">
        <f t="shared" si="11"/>
        <v>0</v>
      </c>
    </row>
    <row r="347" spans="1:10" x14ac:dyDescent="0.25">
      <c r="A347" s="1">
        <v>44256</v>
      </c>
      <c r="B347" t="s">
        <v>137</v>
      </c>
      <c r="C347" t="str">
        <f t="shared" si="10"/>
        <v/>
      </c>
      <c r="F347" t="s">
        <v>22</v>
      </c>
      <c r="G347" s="4">
        <v>2116.7999999999997</v>
      </c>
      <c r="H347" t="s">
        <v>11</v>
      </c>
      <c r="I347">
        <v>15000</v>
      </c>
      <c r="J347" s="4">
        <f t="shared" si="11"/>
        <v>0</v>
      </c>
    </row>
    <row r="348" spans="1:10" x14ac:dyDescent="0.25">
      <c r="A348" s="1">
        <v>44256</v>
      </c>
      <c r="B348" t="s">
        <v>137</v>
      </c>
      <c r="C348" t="str">
        <f t="shared" si="10"/>
        <v/>
      </c>
      <c r="F348" t="s">
        <v>22</v>
      </c>
      <c r="G348" s="4">
        <v>1158.04</v>
      </c>
      <c r="H348" t="s">
        <v>15</v>
      </c>
      <c r="I348">
        <v>15000</v>
      </c>
      <c r="J348" s="4">
        <f t="shared" si="11"/>
        <v>0</v>
      </c>
    </row>
    <row r="349" spans="1:10" x14ac:dyDescent="0.25">
      <c r="A349" s="1">
        <v>44256</v>
      </c>
      <c r="B349" t="s">
        <v>65</v>
      </c>
      <c r="C349" t="str">
        <f t="shared" si="10"/>
        <v>Spencer Cruz</v>
      </c>
      <c r="D349" t="s">
        <v>66</v>
      </c>
      <c r="E349" t="s">
        <v>67</v>
      </c>
      <c r="F349" t="s">
        <v>22</v>
      </c>
      <c r="G349" s="4">
        <v>6708.9</v>
      </c>
      <c r="H349" t="s">
        <v>43</v>
      </c>
      <c r="I349">
        <v>15000</v>
      </c>
      <c r="J349" s="4">
        <f t="shared" si="11"/>
        <v>0</v>
      </c>
    </row>
    <row r="350" spans="1:10" x14ac:dyDescent="0.25">
      <c r="A350" s="1">
        <v>44256</v>
      </c>
      <c r="B350" t="s">
        <v>53</v>
      </c>
      <c r="C350" t="str">
        <f t="shared" si="10"/>
        <v>Josh Sutherland</v>
      </c>
      <c r="D350" t="s">
        <v>54</v>
      </c>
      <c r="E350" t="s">
        <v>55</v>
      </c>
      <c r="F350" t="s">
        <v>22</v>
      </c>
      <c r="G350" s="4">
        <v>7982.7</v>
      </c>
      <c r="H350" t="s">
        <v>43</v>
      </c>
      <c r="I350">
        <v>15000</v>
      </c>
      <c r="J350" s="4">
        <f t="shared" si="11"/>
        <v>0</v>
      </c>
    </row>
    <row r="351" spans="1:10" x14ac:dyDescent="0.25">
      <c r="A351" s="1">
        <v>44256</v>
      </c>
      <c r="B351" t="s">
        <v>44</v>
      </c>
      <c r="C351" t="str">
        <f t="shared" si="10"/>
        <v>Ally Bryant</v>
      </c>
      <c r="D351" t="s">
        <v>45</v>
      </c>
      <c r="E351" t="s">
        <v>46</v>
      </c>
      <c r="F351" t="s">
        <v>22</v>
      </c>
      <c r="G351" s="4">
        <v>8694</v>
      </c>
      <c r="H351" t="s">
        <v>11</v>
      </c>
      <c r="I351">
        <v>15000</v>
      </c>
      <c r="J351" s="4">
        <f t="shared" si="11"/>
        <v>0</v>
      </c>
    </row>
    <row r="352" spans="1:10" x14ac:dyDescent="0.25">
      <c r="A352" s="1">
        <v>44256</v>
      </c>
      <c r="B352" t="s">
        <v>44</v>
      </c>
      <c r="C352" t="str">
        <f t="shared" si="10"/>
        <v>Ally Bryant</v>
      </c>
      <c r="D352" t="s">
        <v>45</v>
      </c>
      <c r="E352" t="s">
        <v>46</v>
      </c>
      <c r="F352" t="s">
        <v>22</v>
      </c>
      <c r="G352" s="4">
        <v>9116</v>
      </c>
      <c r="H352" t="s">
        <v>11</v>
      </c>
      <c r="I352">
        <v>15000</v>
      </c>
      <c r="J352" s="4">
        <f t="shared" si="11"/>
        <v>0</v>
      </c>
    </row>
    <row r="353" spans="1:10" x14ac:dyDescent="0.25">
      <c r="A353" s="1">
        <v>44256</v>
      </c>
      <c r="B353" t="s">
        <v>53</v>
      </c>
      <c r="C353" t="str">
        <f t="shared" si="10"/>
        <v>Josh Sutherland</v>
      </c>
      <c r="D353" t="s">
        <v>54</v>
      </c>
      <c r="E353" t="s">
        <v>55</v>
      </c>
      <c r="F353" t="s">
        <v>22</v>
      </c>
      <c r="G353" s="4">
        <v>10110.299999999999</v>
      </c>
      <c r="H353" t="s">
        <v>11</v>
      </c>
      <c r="I353">
        <v>15000</v>
      </c>
      <c r="J353" s="4">
        <f t="shared" si="11"/>
        <v>0</v>
      </c>
    </row>
    <row r="354" spans="1:10" x14ac:dyDescent="0.25">
      <c r="A354" s="1">
        <v>44256</v>
      </c>
      <c r="B354" t="s">
        <v>19</v>
      </c>
      <c r="C354" t="str">
        <f t="shared" si="10"/>
        <v>Nina McDonald</v>
      </c>
      <c r="D354" t="s">
        <v>20</v>
      </c>
      <c r="E354" t="s">
        <v>21</v>
      </c>
      <c r="F354" t="s">
        <v>22</v>
      </c>
      <c r="G354" s="4">
        <v>10451.199999999999</v>
      </c>
      <c r="H354" t="s">
        <v>11</v>
      </c>
      <c r="I354">
        <v>15000</v>
      </c>
      <c r="J354" s="4">
        <f t="shared" si="11"/>
        <v>0</v>
      </c>
    </row>
    <row r="355" spans="1:10" x14ac:dyDescent="0.25">
      <c r="A355" s="1">
        <v>44256</v>
      </c>
      <c r="B355" t="s">
        <v>19</v>
      </c>
      <c r="C355" t="str">
        <f t="shared" si="10"/>
        <v>Nina McDonald</v>
      </c>
      <c r="D355" t="s">
        <v>20</v>
      </c>
      <c r="E355" t="s">
        <v>21</v>
      </c>
      <c r="F355" t="s">
        <v>22</v>
      </c>
      <c r="G355" s="4">
        <v>11580.4</v>
      </c>
      <c r="H355" t="s">
        <v>15</v>
      </c>
      <c r="I355">
        <v>15000</v>
      </c>
      <c r="J355" s="4">
        <f t="shared" si="11"/>
        <v>0</v>
      </c>
    </row>
    <row r="356" spans="1:10" x14ac:dyDescent="0.25">
      <c r="A356" s="1">
        <v>44256</v>
      </c>
      <c r="B356" t="s">
        <v>44</v>
      </c>
      <c r="C356" t="str">
        <f t="shared" si="10"/>
        <v>Ally Bryant</v>
      </c>
      <c r="D356" t="s">
        <v>45</v>
      </c>
      <c r="E356" t="s">
        <v>46</v>
      </c>
      <c r="F356" t="s">
        <v>22</v>
      </c>
      <c r="G356" s="4">
        <v>14329.5</v>
      </c>
      <c r="H356" t="s">
        <v>11</v>
      </c>
      <c r="I356">
        <v>15000</v>
      </c>
      <c r="J356" s="4">
        <f t="shared" si="11"/>
        <v>0</v>
      </c>
    </row>
    <row r="357" spans="1:10" x14ac:dyDescent="0.25">
      <c r="A357" s="1">
        <v>44256</v>
      </c>
      <c r="B357" t="s">
        <v>44</v>
      </c>
      <c r="C357" t="str">
        <f t="shared" si="10"/>
        <v>Ally Bryant</v>
      </c>
      <c r="D357" t="s">
        <v>45</v>
      </c>
      <c r="E357" t="s">
        <v>46</v>
      </c>
      <c r="F357" t="s">
        <v>22</v>
      </c>
      <c r="G357" s="4">
        <v>20128</v>
      </c>
      <c r="H357" t="s">
        <v>43</v>
      </c>
      <c r="I357">
        <v>15000</v>
      </c>
      <c r="J357" s="4">
        <f t="shared" si="11"/>
        <v>2012.8000000000002</v>
      </c>
    </row>
    <row r="358" spans="1:10" x14ac:dyDescent="0.25">
      <c r="A358" s="1">
        <v>44256</v>
      </c>
      <c r="B358" t="s">
        <v>65</v>
      </c>
      <c r="C358" t="str">
        <f t="shared" si="10"/>
        <v>Spencer Cruz</v>
      </c>
      <c r="D358" t="s">
        <v>66</v>
      </c>
      <c r="E358" t="s">
        <v>67</v>
      </c>
      <c r="F358" t="s">
        <v>22</v>
      </c>
      <c r="G358" s="4">
        <v>21167.999999999996</v>
      </c>
      <c r="H358" t="s">
        <v>11</v>
      </c>
      <c r="I358">
        <v>15000</v>
      </c>
      <c r="J358" s="4">
        <f t="shared" si="11"/>
        <v>2116.7999999999997</v>
      </c>
    </row>
    <row r="359" spans="1:10" x14ac:dyDescent="0.25">
      <c r="A359" s="1">
        <v>44256</v>
      </c>
      <c r="B359" t="s">
        <v>37</v>
      </c>
      <c r="C359" t="str">
        <f t="shared" si="10"/>
        <v>Tia Cruise</v>
      </c>
      <c r="D359" t="s">
        <v>38</v>
      </c>
      <c r="E359" t="s">
        <v>39</v>
      </c>
      <c r="F359" t="s">
        <v>22</v>
      </c>
      <c r="G359" s="4">
        <v>25102.399999999998</v>
      </c>
      <c r="H359" t="s">
        <v>15</v>
      </c>
      <c r="I359">
        <v>15000</v>
      </c>
      <c r="J359" s="4">
        <f t="shared" si="11"/>
        <v>2510.2399999999998</v>
      </c>
    </row>
    <row r="360" spans="1:10" x14ac:dyDescent="0.25">
      <c r="A360" s="1">
        <v>44256</v>
      </c>
      <c r="B360" t="s">
        <v>37</v>
      </c>
      <c r="C360" t="str">
        <f t="shared" si="10"/>
        <v>Tia Cruise</v>
      </c>
      <c r="D360" t="s">
        <v>38</v>
      </c>
      <c r="E360" t="s">
        <v>39</v>
      </c>
      <c r="F360" t="s">
        <v>22</v>
      </c>
      <c r="G360" s="4">
        <v>27670.9</v>
      </c>
      <c r="H360" t="s">
        <v>43</v>
      </c>
      <c r="I360">
        <v>15000</v>
      </c>
      <c r="J360" s="4">
        <f t="shared" si="11"/>
        <v>2767.09</v>
      </c>
    </row>
    <row r="361" spans="1:10" x14ac:dyDescent="0.25">
      <c r="A361" s="1">
        <v>44256</v>
      </c>
      <c r="B361" t="s">
        <v>37</v>
      </c>
      <c r="C361" t="str">
        <f t="shared" si="10"/>
        <v>Tia Cruise</v>
      </c>
      <c r="D361" t="s">
        <v>38</v>
      </c>
      <c r="E361" t="s">
        <v>39</v>
      </c>
      <c r="F361" t="s">
        <v>22</v>
      </c>
      <c r="G361" s="4">
        <v>27956.799999999999</v>
      </c>
      <c r="H361" t="s">
        <v>15</v>
      </c>
      <c r="I361">
        <v>15000</v>
      </c>
      <c r="J361" s="4">
        <f t="shared" si="11"/>
        <v>2795.6800000000003</v>
      </c>
    </row>
    <row r="362" spans="1:10" x14ac:dyDescent="0.25">
      <c r="A362" s="1">
        <v>44256</v>
      </c>
      <c r="B362" t="s">
        <v>44</v>
      </c>
      <c r="C362" t="str">
        <f t="shared" si="10"/>
        <v>Ally Bryant</v>
      </c>
      <c r="D362" t="s">
        <v>45</v>
      </c>
      <c r="E362" t="s">
        <v>46</v>
      </c>
      <c r="F362" t="s">
        <v>22</v>
      </c>
      <c r="G362" s="4">
        <v>31407</v>
      </c>
      <c r="H362" t="s">
        <v>15</v>
      </c>
      <c r="I362">
        <v>15000</v>
      </c>
      <c r="J362" s="4">
        <f t="shared" si="11"/>
        <v>3140.7000000000003</v>
      </c>
    </row>
    <row r="363" spans="1:10" x14ac:dyDescent="0.25">
      <c r="A363" s="1">
        <v>44256</v>
      </c>
      <c r="B363" t="s">
        <v>53</v>
      </c>
      <c r="C363" t="str">
        <f t="shared" si="10"/>
        <v>Josh Sutherland</v>
      </c>
      <c r="D363" t="s">
        <v>54</v>
      </c>
      <c r="E363" t="s">
        <v>55</v>
      </c>
      <c r="F363" t="s">
        <v>22</v>
      </c>
      <c r="G363" s="4">
        <v>35647.5</v>
      </c>
      <c r="H363" t="s">
        <v>43</v>
      </c>
      <c r="I363">
        <v>15000</v>
      </c>
      <c r="J363" s="4">
        <f t="shared" si="11"/>
        <v>3564.75</v>
      </c>
    </row>
    <row r="364" spans="1:10" x14ac:dyDescent="0.25">
      <c r="A364" s="1">
        <v>44256</v>
      </c>
      <c r="B364" t="s">
        <v>53</v>
      </c>
      <c r="C364" t="str">
        <f t="shared" si="10"/>
        <v>Josh Sutherland</v>
      </c>
      <c r="D364" t="s">
        <v>54</v>
      </c>
      <c r="E364" t="s">
        <v>55</v>
      </c>
      <c r="F364" t="s">
        <v>22</v>
      </c>
      <c r="G364" s="4">
        <v>36907.200000000004</v>
      </c>
      <c r="H364" t="s">
        <v>15</v>
      </c>
      <c r="I364">
        <v>15000</v>
      </c>
      <c r="J364" s="4">
        <f t="shared" si="11"/>
        <v>3690.7200000000007</v>
      </c>
    </row>
    <row r="365" spans="1:10" x14ac:dyDescent="0.25">
      <c r="A365" s="1">
        <v>44287</v>
      </c>
      <c r="B365" t="s">
        <v>137</v>
      </c>
      <c r="C365" t="str">
        <f t="shared" si="10"/>
        <v/>
      </c>
      <c r="F365" t="s">
        <v>22</v>
      </c>
      <c r="G365" s="4">
        <v>1171.6500000000001</v>
      </c>
      <c r="H365" t="s">
        <v>11</v>
      </c>
      <c r="I365">
        <v>15000</v>
      </c>
      <c r="J365" s="4">
        <f t="shared" si="11"/>
        <v>0</v>
      </c>
    </row>
    <row r="366" spans="1:10" x14ac:dyDescent="0.25">
      <c r="A366" s="1">
        <v>44287</v>
      </c>
      <c r="B366" t="s">
        <v>137</v>
      </c>
      <c r="C366" t="str">
        <f t="shared" si="10"/>
        <v/>
      </c>
      <c r="F366" t="s">
        <v>22</v>
      </c>
      <c r="G366" s="4">
        <v>1696.8</v>
      </c>
      <c r="H366" t="s">
        <v>43</v>
      </c>
      <c r="I366">
        <v>15000</v>
      </c>
      <c r="J366" s="4">
        <f t="shared" si="11"/>
        <v>0</v>
      </c>
    </row>
    <row r="367" spans="1:10" x14ac:dyDescent="0.25">
      <c r="A367" s="1">
        <v>44287</v>
      </c>
      <c r="B367" t="s">
        <v>137</v>
      </c>
      <c r="C367" t="str">
        <f t="shared" si="10"/>
        <v/>
      </c>
      <c r="F367" t="s">
        <v>22</v>
      </c>
      <c r="G367" s="4">
        <v>569.64</v>
      </c>
      <c r="H367" t="s">
        <v>11</v>
      </c>
      <c r="I367">
        <v>15000</v>
      </c>
      <c r="J367" s="4">
        <f t="shared" si="11"/>
        <v>0</v>
      </c>
    </row>
    <row r="368" spans="1:10" x14ac:dyDescent="0.25">
      <c r="A368" s="1">
        <v>44287</v>
      </c>
      <c r="B368" t="s">
        <v>137</v>
      </c>
      <c r="C368" t="str">
        <f t="shared" si="10"/>
        <v/>
      </c>
      <c r="F368" t="s">
        <v>22</v>
      </c>
      <c r="G368" s="4">
        <v>1818.84</v>
      </c>
      <c r="H368" t="s">
        <v>15</v>
      </c>
      <c r="I368">
        <v>15000</v>
      </c>
      <c r="J368" s="4">
        <f t="shared" si="11"/>
        <v>0</v>
      </c>
    </row>
    <row r="369" spans="1:10" x14ac:dyDescent="0.25">
      <c r="A369" s="1">
        <v>44287</v>
      </c>
      <c r="B369" t="s">
        <v>137</v>
      </c>
      <c r="C369" t="str">
        <f t="shared" si="10"/>
        <v/>
      </c>
      <c r="F369" t="s">
        <v>22</v>
      </c>
      <c r="G369" s="4">
        <v>1799.35</v>
      </c>
      <c r="H369" t="s">
        <v>11</v>
      </c>
      <c r="I369">
        <v>15000</v>
      </c>
      <c r="J369" s="4">
        <f t="shared" si="11"/>
        <v>0</v>
      </c>
    </row>
    <row r="370" spans="1:10" x14ac:dyDescent="0.25">
      <c r="A370" s="1">
        <v>44287</v>
      </c>
      <c r="B370" t="s">
        <v>137</v>
      </c>
      <c r="C370" t="str">
        <f t="shared" si="10"/>
        <v/>
      </c>
      <c r="F370" t="s">
        <v>22</v>
      </c>
      <c r="G370" s="4">
        <v>1649.94</v>
      </c>
      <c r="H370" t="s">
        <v>15</v>
      </c>
      <c r="I370">
        <v>15000</v>
      </c>
      <c r="J370" s="4">
        <f t="shared" si="11"/>
        <v>0</v>
      </c>
    </row>
    <row r="371" spans="1:10" x14ac:dyDescent="0.25">
      <c r="A371" s="1">
        <v>44287</v>
      </c>
      <c r="B371" t="s">
        <v>137</v>
      </c>
      <c r="C371" t="str">
        <f t="shared" si="10"/>
        <v/>
      </c>
      <c r="F371" t="s">
        <v>22</v>
      </c>
      <c r="G371" s="4">
        <v>1441.6</v>
      </c>
      <c r="H371" t="s">
        <v>43</v>
      </c>
      <c r="I371">
        <v>15000</v>
      </c>
      <c r="J371" s="4">
        <f t="shared" si="11"/>
        <v>0</v>
      </c>
    </row>
    <row r="372" spans="1:10" x14ac:dyDescent="0.25">
      <c r="A372" s="1">
        <v>44287</v>
      </c>
      <c r="B372" t="s">
        <v>53</v>
      </c>
      <c r="C372" t="str">
        <f t="shared" si="10"/>
        <v>Josh Sutherland</v>
      </c>
      <c r="D372" t="s">
        <v>54</v>
      </c>
      <c r="E372" t="s">
        <v>55</v>
      </c>
      <c r="F372" t="s">
        <v>22</v>
      </c>
      <c r="G372" s="4">
        <v>5696.4</v>
      </c>
      <c r="H372" t="s">
        <v>11</v>
      </c>
      <c r="I372">
        <v>15000</v>
      </c>
      <c r="J372" s="4">
        <f t="shared" si="11"/>
        <v>0</v>
      </c>
    </row>
    <row r="373" spans="1:10" x14ac:dyDescent="0.25">
      <c r="A373" s="1">
        <v>44287</v>
      </c>
      <c r="B373" t="s">
        <v>19</v>
      </c>
      <c r="C373" t="str">
        <f t="shared" si="10"/>
        <v>Nina McDonald</v>
      </c>
      <c r="D373" t="s">
        <v>20</v>
      </c>
      <c r="E373" t="s">
        <v>21</v>
      </c>
      <c r="F373" t="s">
        <v>22</v>
      </c>
      <c r="G373" s="4">
        <v>11716.5</v>
      </c>
      <c r="H373" t="s">
        <v>11</v>
      </c>
      <c r="I373">
        <v>15000</v>
      </c>
      <c r="J373" s="4">
        <f t="shared" si="11"/>
        <v>0</v>
      </c>
    </row>
    <row r="374" spans="1:10" x14ac:dyDescent="0.25">
      <c r="A374" s="1">
        <v>44287</v>
      </c>
      <c r="B374" t="s">
        <v>65</v>
      </c>
      <c r="C374" t="str">
        <f t="shared" si="10"/>
        <v>Spencer Cruz</v>
      </c>
      <c r="D374" t="s">
        <v>66</v>
      </c>
      <c r="E374" t="s">
        <v>67</v>
      </c>
      <c r="F374" t="s">
        <v>22</v>
      </c>
      <c r="G374" s="4">
        <v>14416</v>
      </c>
      <c r="H374" t="s">
        <v>43</v>
      </c>
      <c r="I374">
        <v>15000</v>
      </c>
      <c r="J374" s="4">
        <f t="shared" si="11"/>
        <v>0</v>
      </c>
    </row>
    <row r="375" spans="1:10" x14ac:dyDescent="0.25">
      <c r="A375" s="1">
        <v>44287</v>
      </c>
      <c r="B375" t="s">
        <v>19</v>
      </c>
      <c r="C375" t="str">
        <f t="shared" si="10"/>
        <v>Nina McDonald</v>
      </c>
      <c r="D375" t="s">
        <v>20</v>
      </c>
      <c r="E375" t="s">
        <v>21</v>
      </c>
      <c r="F375" t="s">
        <v>22</v>
      </c>
      <c r="G375" s="4">
        <v>16499.400000000001</v>
      </c>
      <c r="H375" t="s">
        <v>15</v>
      </c>
      <c r="I375">
        <v>15000</v>
      </c>
      <c r="J375" s="4">
        <f t="shared" si="11"/>
        <v>1649.9400000000003</v>
      </c>
    </row>
    <row r="376" spans="1:10" x14ac:dyDescent="0.25">
      <c r="A376" s="1">
        <v>44287</v>
      </c>
      <c r="B376" t="s">
        <v>53</v>
      </c>
      <c r="C376" t="str">
        <f t="shared" si="10"/>
        <v>Josh Sutherland</v>
      </c>
      <c r="D376" t="s">
        <v>54</v>
      </c>
      <c r="E376" t="s">
        <v>55</v>
      </c>
      <c r="F376" t="s">
        <v>22</v>
      </c>
      <c r="G376" s="4">
        <v>16968</v>
      </c>
      <c r="H376" t="s">
        <v>43</v>
      </c>
      <c r="I376">
        <v>15000</v>
      </c>
      <c r="J376" s="4">
        <f t="shared" si="11"/>
        <v>1696.8000000000002</v>
      </c>
    </row>
    <row r="377" spans="1:10" x14ac:dyDescent="0.25">
      <c r="A377" s="1">
        <v>44287</v>
      </c>
      <c r="B377" t="s">
        <v>44</v>
      </c>
      <c r="C377" t="str">
        <f t="shared" si="10"/>
        <v>Ally Bryant</v>
      </c>
      <c r="D377" t="s">
        <v>45</v>
      </c>
      <c r="E377" t="s">
        <v>46</v>
      </c>
      <c r="F377" t="s">
        <v>22</v>
      </c>
      <c r="G377" s="4">
        <v>17993.5</v>
      </c>
      <c r="H377" t="s">
        <v>11</v>
      </c>
      <c r="I377">
        <v>15000</v>
      </c>
      <c r="J377" s="4">
        <f t="shared" si="11"/>
        <v>1799.3500000000001</v>
      </c>
    </row>
    <row r="378" spans="1:10" x14ac:dyDescent="0.25">
      <c r="A378" s="1">
        <v>44287</v>
      </c>
      <c r="B378" t="s">
        <v>53</v>
      </c>
      <c r="C378" t="str">
        <f t="shared" si="10"/>
        <v>Josh Sutherland</v>
      </c>
      <c r="D378" t="s">
        <v>54</v>
      </c>
      <c r="E378" t="s">
        <v>55</v>
      </c>
      <c r="F378" t="s">
        <v>22</v>
      </c>
      <c r="G378" s="4">
        <v>18188.399999999998</v>
      </c>
      <c r="H378" t="s">
        <v>15</v>
      </c>
      <c r="I378">
        <v>15000</v>
      </c>
      <c r="J378" s="4">
        <f t="shared" si="11"/>
        <v>1818.84</v>
      </c>
    </row>
    <row r="379" spans="1:10" x14ac:dyDescent="0.25">
      <c r="A379" s="1">
        <v>44317</v>
      </c>
      <c r="B379" t="s">
        <v>137</v>
      </c>
      <c r="C379" t="str">
        <f t="shared" si="10"/>
        <v/>
      </c>
      <c r="F379" t="s">
        <v>22</v>
      </c>
      <c r="G379" s="4">
        <v>900.48</v>
      </c>
      <c r="H379" t="s">
        <v>11</v>
      </c>
      <c r="I379">
        <v>15000</v>
      </c>
      <c r="J379" s="4">
        <f t="shared" si="11"/>
        <v>0</v>
      </c>
    </row>
    <row r="380" spans="1:10" x14ac:dyDescent="0.25">
      <c r="A380" s="1">
        <v>44317</v>
      </c>
      <c r="B380" t="s">
        <v>137</v>
      </c>
      <c r="C380" t="str">
        <f t="shared" si="10"/>
        <v/>
      </c>
      <c r="F380" t="s">
        <v>22</v>
      </c>
      <c r="G380" s="4">
        <v>4224.91</v>
      </c>
      <c r="H380" t="s">
        <v>15</v>
      </c>
      <c r="I380">
        <v>15000</v>
      </c>
      <c r="J380" s="4">
        <f t="shared" si="11"/>
        <v>0</v>
      </c>
    </row>
    <row r="381" spans="1:10" x14ac:dyDescent="0.25">
      <c r="A381" s="1">
        <v>44317</v>
      </c>
      <c r="B381" t="s">
        <v>137</v>
      </c>
      <c r="C381" t="str">
        <f t="shared" si="10"/>
        <v/>
      </c>
      <c r="F381" t="s">
        <v>22</v>
      </c>
      <c r="G381" s="4">
        <v>2399.7600000000002</v>
      </c>
      <c r="H381" t="s">
        <v>11</v>
      </c>
      <c r="I381">
        <v>15000</v>
      </c>
      <c r="J381" s="4">
        <f t="shared" si="11"/>
        <v>0</v>
      </c>
    </row>
    <row r="382" spans="1:10" x14ac:dyDescent="0.25">
      <c r="A382" s="1">
        <v>44317</v>
      </c>
      <c r="B382" t="s">
        <v>137</v>
      </c>
      <c r="C382" t="str">
        <f t="shared" si="10"/>
        <v/>
      </c>
      <c r="F382" t="s">
        <v>22</v>
      </c>
      <c r="G382" s="4">
        <v>2791.64</v>
      </c>
      <c r="H382" t="s">
        <v>43</v>
      </c>
      <c r="I382">
        <v>15000</v>
      </c>
      <c r="J382" s="4">
        <f t="shared" si="11"/>
        <v>0</v>
      </c>
    </row>
    <row r="383" spans="1:10" x14ac:dyDescent="0.25">
      <c r="A383" s="1">
        <v>44317</v>
      </c>
      <c r="B383" t="s">
        <v>137</v>
      </c>
      <c r="C383" t="str">
        <f t="shared" si="10"/>
        <v/>
      </c>
      <c r="F383" t="s">
        <v>22</v>
      </c>
      <c r="G383" s="4">
        <v>2071.7599999999998</v>
      </c>
      <c r="H383" t="s">
        <v>15</v>
      </c>
      <c r="I383">
        <v>15000</v>
      </c>
      <c r="J383" s="4">
        <f t="shared" si="11"/>
        <v>0</v>
      </c>
    </row>
    <row r="384" spans="1:10" x14ac:dyDescent="0.25">
      <c r="A384" s="1">
        <v>44317</v>
      </c>
      <c r="B384" t="s">
        <v>137</v>
      </c>
      <c r="C384" t="str">
        <f t="shared" si="10"/>
        <v/>
      </c>
      <c r="F384" t="s">
        <v>22</v>
      </c>
      <c r="G384" s="4">
        <v>1983.64</v>
      </c>
      <c r="H384" t="s">
        <v>11</v>
      </c>
      <c r="I384">
        <v>15000</v>
      </c>
      <c r="J384" s="4">
        <f t="shared" si="11"/>
        <v>0</v>
      </c>
    </row>
    <row r="385" spans="1:10" x14ac:dyDescent="0.25">
      <c r="A385" s="1">
        <v>44317</v>
      </c>
      <c r="B385" t="s">
        <v>137</v>
      </c>
      <c r="C385" t="str">
        <f t="shared" si="10"/>
        <v/>
      </c>
      <c r="F385" t="s">
        <v>22</v>
      </c>
      <c r="G385" s="4">
        <v>1961.75</v>
      </c>
      <c r="H385" t="s">
        <v>43</v>
      </c>
      <c r="I385">
        <v>15000</v>
      </c>
      <c r="J385" s="4">
        <f t="shared" si="11"/>
        <v>0</v>
      </c>
    </row>
    <row r="386" spans="1:10" x14ac:dyDescent="0.25">
      <c r="A386" s="1">
        <v>44317</v>
      </c>
      <c r="B386" t="s">
        <v>137</v>
      </c>
      <c r="C386" t="str">
        <f t="shared" si="10"/>
        <v/>
      </c>
      <c r="F386" t="s">
        <v>22</v>
      </c>
      <c r="G386" s="4">
        <v>1882.64</v>
      </c>
      <c r="H386" t="s">
        <v>43</v>
      </c>
      <c r="I386">
        <v>15000</v>
      </c>
      <c r="J386" s="4">
        <f t="shared" si="11"/>
        <v>0</v>
      </c>
    </row>
    <row r="387" spans="1:10" x14ac:dyDescent="0.25">
      <c r="A387" s="1">
        <v>44317</v>
      </c>
      <c r="B387" t="s">
        <v>137</v>
      </c>
      <c r="C387" t="str">
        <f t="shared" ref="C387:C450" si="12">TRIM(B387)</f>
        <v/>
      </c>
      <c r="F387" t="s">
        <v>22</v>
      </c>
      <c r="G387" s="4">
        <v>2336.4</v>
      </c>
      <c r="H387" t="s">
        <v>15</v>
      </c>
      <c r="I387">
        <v>15000</v>
      </c>
      <c r="J387" s="4">
        <f t="shared" ref="J387:J450" si="13">IF(G387&gt;=I387,G387*$L$2,0)</f>
        <v>0</v>
      </c>
    </row>
    <row r="388" spans="1:10" x14ac:dyDescent="0.25">
      <c r="A388" s="1">
        <v>44317</v>
      </c>
      <c r="B388" t="s">
        <v>65</v>
      </c>
      <c r="C388" t="str">
        <f t="shared" si="12"/>
        <v>Spencer Cruz</v>
      </c>
      <c r="D388" t="s">
        <v>66</v>
      </c>
      <c r="E388" t="s">
        <v>67</v>
      </c>
      <c r="F388" t="s">
        <v>22</v>
      </c>
      <c r="G388" s="4">
        <v>9004.7999999999993</v>
      </c>
      <c r="H388" t="s">
        <v>11</v>
      </c>
      <c r="I388">
        <v>15000</v>
      </c>
      <c r="J388" s="4">
        <f t="shared" si="13"/>
        <v>0</v>
      </c>
    </row>
    <row r="389" spans="1:10" x14ac:dyDescent="0.25">
      <c r="A389" s="1">
        <v>44317</v>
      </c>
      <c r="B389" t="s">
        <v>53</v>
      </c>
      <c r="C389" t="str">
        <f t="shared" si="12"/>
        <v>Josh Sutherland</v>
      </c>
      <c r="D389" t="s">
        <v>54</v>
      </c>
      <c r="E389" t="s">
        <v>55</v>
      </c>
      <c r="F389" t="s">
        <v>22</v>
      </c>
      <c r="G389" s="4">
        <v>18826.400000000001</v>
      </c>
      <c r="H389" t="s">
        <v>43</v>
      </c>
      <c r="I389">
        <v>15000</v>
      </c>
      <c r="J389" s="4">
        <f t="shared" si="13"/>
        <v>1882.6400000000003</v>
      </c>
    </row>
    <row r="390" spans="1:10" x14ac:dyDescent="0.25">
      <c r="A390" s="1">
        <v>44317</v>
      </c>
      <c r="B390" t="s">
        <v>53</v>
      </c>
      <c r="C390" t="str">
        <f t="shared" si="12"/>
        <v>Josh Sutherland</v>
      </c>
      <c r="D390" t="s">
        <v>54</v>
      </c>
      <c r="E390" t="s">
        <v>55</v>
      </c>
      <c r="F390" t="s">
        <v>22</v>
      </c>
      <c r="G390" s="4">
        <v>19617.5</v>
      </c>
      <c r="H390" t="s">
        <v>43</v>
      </c>
      <c r="I390">
        <v>15000</v>
      </c>
      <c r="J390" s="4">
        <f t="shared" si="13"/>
        <v>1961.75</v>
      </c>
    </row>
    <row r="391" spans="1:10" x14ac:dyDescent="0.25">
      <c r="A391" s="1">
        <v>44317</v>
      </c>
      <c r="B391" t="s">
        <v>53</v>
      </c>
      <c r="C391" t="str">
        <f t="shared" si="12"/>
        <v>Josh Sutherland</v>
      </c>
      <c r="D391" t="s">
        <v>54</v>
      </c>
      <c r="E391" t="s">
        <v>55</v>
      </c>
      <c r="F391" t="s">
        <v>22</v>
      </c>
      <c r="G391" s="4">
        <v>19836.400000000001</v>
      </c>
      <c r="H391" t="s">
        <v>11</v>
      </c>
      <c r="I391">
        <v>15000</v>
      </c>
      <c r="J391" s="4">
        <f t="shared" si="13"/>
        <v>1983.6400000000003</v>
      </c>
    </row>
    <row r="392" spans="1:10" x14ac:dyDescent="0.25">
      <c r="A392" s="1">
        <v>44317</v>
      </c>
      <c r="B392" t="s">
        <v>44</v>
      </c>
      <c r="C392" t="str">
        <f t="shared" si="12"/>
        <v>Ally Bryant</v>
      </c>
      <c r="D392" t="s">
        <v>45</v>
      </c>
      <c r="E392" t="s">
        <v>46</v>
      </c>
      <c r="F392" t="s">
        <v>22</v>
      </c>
      <c r="G392" s="4">
        <v>20717.599999999999</v>
      </c>
      <c r="H392" t="s">
        <v>15</v>
      </c>
      <c r="I392">
        <v>15000</v>
      </c>
      <c r="J392" s="4">
        <f t="shared" si="13"/>
        <v>2071.7599999999998</v>
      </c>
    </row>
    <row r="393" spans="1:10" x14ac:dyDescent="0.25">
      <c r="A393" s="1">
        <v>44317</v>
      </c>
      <c r="B393" t="s">
        <v>37</v>
      </c>
      <c r="C393" t="str">
        <f t="shared" si="12"/>
        <v>Tia Cruise</v>
      </c>
      <c r="D393" t="s">
        <v>38</v>
      </c>
      <c r="E393" t="s">
        <v>39</v>
      </c>
      <c r="F393" t="s">
        <v>22</v>
      </c>
      <c r="G393" s="4">
        <v>23364</v>
      </c>
      <c r="H393" t="s">
        <v>15</v>
      </c>
      <c r="I393">
        <v>15000</v>
      </c>
      <c r="J393" s="4">
        <f t="shared" si="13"/>
        <v>2336.4</v>
      </c>
    </row>
    <row r="394" spans="1:10" x14ac:dyDescent="0.25">
      <c r="A394" s="1">
        <v>44317</v>
      </c>
      <c r="B394" t="s">
        <v>53</v>
      </c>
      <c r="C394" t="str">
        <f t="shared" si="12"/>
        <v>Josh Sutherland</v>
      </c>
      <c r="D394" t="s">
        <v>54</v>
      </c>
      <c r="E394" t="s">
        <v>55</v>
      </c>
      <c r="F394" t="s">
        <v>22</v>
      </c>
      <c r="G394" s="4">
        <v>23997.600000000002</v>
      </c>
      <c r="H394" t="s">
        <v>11</v>
      </c>
      <c r="I394">
        <v>15000</v>
      </c>
      <c r="J394" s="4">
        <f t="shared" si="13"/>
        <v>2399.7600000000002</v>
      </c>
    </row>
    <row r="395" spans="1:10" x14ac:dyDescent="0.25">
      <c r="A395" s="1">
        <v>44317</v>
      </c>
      <c r="B395" t="s">
        <v>65</v>
      </c>
      <c r="C395" t="str">
        <f t="shared" si="12"/>
        <v>Spencer Cruz</v>
      </c>
      <c r="D395" t="s">
        <v>66</v>
      </c>
      <c r="E395" t="s">
        <v>67</v>
      </c>
      <c r="F395" t="s">
        <v>22</v>
      </c>
      <c r="G395" s="4">
        <v>27916.399999999998</v>
      </c>
      <c r="H395" t="s">
        <v>43</v>
      </c>
      <c r="I395">
        <v>15000</v>
      </c>
      <c r="J395" s="4">
        <f t="shared" si="13"/>
        <v>2791.64</v>
      </c>
    </row>
    <row r="396" spans="1:10" x14ac:dyDescent="0.25">
      <c r="A396" s="1">
        <v>44317</v>
      </c>
      <c r="B396" t="s">
        <v>65</v>
      </c>
      <c r="C396" t="str">
        <f t="shared" si="12"/>
        <v>Spencer Cruz</v>
      </c>
      <c r="D396" t="s">
        <v>66</v>
      </c>
      <c r="E396" t="s">
        <v>67</v>
      </c>
      <c r="F396" t="s">
        <v>22</v>
      </c>
      <c r="G396" s="4">
        <v>42249.1</v>
      </c>
      <c r="H396" t="s">
        <v>15</v>
      </c>
      <c r="I396">
        <v>15000</v>
      </c>
      <c r="J396" s="4">
        <f t="shared" si="13"/>
        <v>4224.91</v>
      </c>
    </row>
    <row r="397" spans="1:10" x14ac:dyDescent="0.25">
      <c r="A397" s="1">
        <v>44348</v>
      </c>
      <c r="B397" t="s">
        <v>137</v>
      </c>
      <c r="C397" t="str">
        <f t="shared" si="12"/>
        <v/>
      </c>
      <c r="F397" t="s">
        <v>22</v>
      </c>
      <c r="G397" s="4">
        <v>957.48</v>
      </c>
      <c r="H397" t="s">
        <v>15</v>
      </c>
      <c r="I397">
        <v>15000</v>
      </c>
      <c r="J397" s="4">
        <f t="shared" si="13"/>
        <v>0</v>
      </c>
    </row>
    <row r="398" spans="1:10" x14ac:dyDescent="0.25">
      <c r="A398" s="1">
        <v>44348</v>
      </c>
      <c r="B398" t="s">
        <v>137</v>
      </c>
      <c r="C398" t="str">
        <f t="shared" si="12"/>
        <v/>
      </c>
      <c r="F398" t="s">
        <v>22</v>
      </c>
      <c r="G398" s="4">
        <v>1506.1200000000001</v>
      </c>
      <c r="H398" t="s">
        <v>15</v>
      </c>
      <c r="I398">
        <v>15000</v>
      </c>
      <c r="J398" s="4">
        <f t="shared" si="13"/>
        <v>0</v>
      </c>
    </row>
    <row r="399" spans="1:10" x14ac:dyDescent="0.25">
      <c r="A399" s="1">
        <v>44348</v>
      </c>
      <c r="B399" t="s">
        <v>137</v>
      </c>
      <c r="C399" t="str">
        <f t="shared" si="12"/>
        <v/>
      </c>
      <c r="F399" t="s">
        <v>22</v>
      </c>
      <c r="G399" s="4">
        <v>3965.3900000000003</v>
      </c>
      <c r="H399" t="s">
        <v>43</v>
      </c>
      <c r="I399">
        <v>15000</v>
      </c>
      <c r="J399" s="4">
        <f t="shared" si="13"/>
        <v>0</v>
      </c>
    </row>
    <row r="400" spans="1:10" x14ac:dyDescent="0.25">
      <c r="A400" s="1">
        <v>44348</v>
      </c>
      <c r="B400" t="s">
        <v>137</v>
      </c>
      <c r="C400" t="str">
        <f t="shared" si="12"/>
        <v/>
      </c>
      <c r="F400" t="s">
        <v>22</v>
      </c>
      <c r="G400" s="4">
        <v>3719.25</v>
      </c>
      <c r="H400" t="s">
        <v>43</v>
      </c>
      <c r="I400">
        <v>15000</v>
      </c>
      <c r="J400" s="4">
        <f t="shared" si="13"/>
        <v>0</v>
      </c>
    </row>
    <row r="401" spans="1:10" x14ac:dyDescent="0.25">
      <c r="A401" s="1">
        <v>44348</v>
      </c>
      <c r="B401" t="s">
        <v>137</v>
      </c>
      <c r="C401" t="str">
        <f t="shared" si="12"/>
        <v/>
      </c>
      <c r="F401" t="s">
        <v>22</v>
      </c>
      <c r="G401" s="4">
        <v>1430.16</v>
      </c>
      <c r="H401" t="s">
        <v>15</v>
      </c>
      <c r="I401">
        <v>15000</v>
      </c>
      <c r="J401" s="4">
        <f t="shared" si="13"/>
        <v>0</v>
      </c>
    </row>
    <row r="402" spans="1:10" x14ac:dyDescent="0.25">
      <c r="A402" s="1">
        <v>44348</v>
      </c>
      <c r="B402" t="s">
        <v>137</v>
      </c>
      <c r="C402" t="str">
        <f t="shared" si="12"/>
        <v/>
      </c>
      <c r="F402" t="s">
        <v>22</v>
      </c>
      <c r="G402" s="4">
        <v>1726.2</v>
      </c>
      <c r="H402" t="s">
        <v>15</v>
      </c>
      <c r="I402">
        <v>15000</v>
      </c>
      <c r="J402" s="4">
        <f t="shared" si="13"/>
        <v>0</v>
      </c>
    </row>
    <row r="403" spans="1:10" x14ac:dyDescent="0.25">
      <c r="A403" s="1">
        <v>44348</v>
      </c>
      <c r="B403" t="s">
        <v>44</v>
      </c>
      <c r="C403" t="str">
        <f t="shared" si="12"/>
        <v>Ally Bryant</v>
      </c>
      <c r="D403" t="s">
        <v>45</v>
      </c>
      <c r="E403" t="s">
        <v>46</v>
      </c>
      <c r="F403" t="s">
        <v>22</v>
      </c>
      <c r="G403" s="4">
        <v>9574.7999999999993</v>
      </c>
      <c r="H403" t="s">
        <v>15</v>
      </c>
      <c r="I403">
        <v>15000</v>
      </c>
      <c r="J403" s="4">
        <f t="shared" si="13"/>
        <v>0</v>
      </c>
    </row>
    <row r="404" spans="1:10" x14ac:dyDescent="0.25">
      <c r="A404" s="1">
        <v>44348</v>
      </c>
      <c r="B404" t="s">
        <v>44</v>
      </c>
      <c r="C404" t="str">
        <f t="shared" si="12"/>
        <v>Ally Bryant</v>
      </c>
      <c r="D404" t="s">
        <v>45</v>
      </c>
      <c r="E404" t="s">
        <v>46</v>
      </c>
      <c r="F404" t="s">
        <v>22</v>
      </c>
      <c r="G404" s="4">
        <v>14301.6</v>
      </c>
      <c r="H404" t="s">
        <v>15</v>
      </c>
      <c r="I404">
        <v>15000</v>
      </c>
      <c r="J404" s="4">
        <f t="shared" si="13"/>
        <v>0</v>
      </c>
    </row>
    <row r="405" spans="1:10" x14ac:dyDescent="0.25">
      <c r="A405" s="1">
        <v>44348</v>
      </c>
      <c r="B405" t="s">
        <v>37</v>
      </c>
      <c r="C405" t="str">
        <f t="shared" si="12"/>
        <v>Tia Cruise</v>
      </c>
      <c r="D405" t="s">
        <v>38</v>
      </c>
      <c r="E405" t="s">
        <v>39</v>
      </c>
      <c r="F405" t="s">
        <v>22</v>
      </c>
      <c r="G405" s="4">
        <v>15061.2</v>
      </c>
      <c r="H405" t="s">
        <v>15</v>
      </c>
      <c r="I405">
        <v>15000</v>
      </c>
      <c r="J405" s="4">
        <f t="shared" si="13"/>
        <v>1506.1200000000001</v>
      </c>
    </row>
    <row r="406" spans="1:10" x14ac:dyDescent="0.25">
      <c r="A406" s="1">
        <v>44348</v>
      </c>
      <c r="B406" t="s">
        <v>53</v>
      </c>
      <c r="C406" t="str">
        <f t="shared" si="12"/>
        <v>Josh Sutherland</v>
      </c>
      <c r="D406" t="s">
        <v>54</v>
      </c>
      <c r="E406" t="s">
        <v>55</v>
      </c>
      <c r="F406" t="s">
        <v>22</v>
      </c>
      <c r="G406" s="4">
        <v>17262</v>
      </c>
      <c r="H406" t="s">
        <v>15</v>
      </c>
      <c r="I406">
        <v>15000</v>
      </c>
      <c r="J406" s="4">
        <f t="shared" si="13"/>
        <v>1726.2</v>
      </c>
    </row>
    <row r="407" spans="1:10" x14ac:dyDescent="0.25">
      <c r="A407" s="1">
        <v>44348</v>
      </c>
      <c r="B407" t="s">
        <v>65</v>
      </c>
      <c r="C407" t="str">
        <f t="shared" si="12"/>
        <v>Spencer Cruz</v>
      </c>
      <c r="D407" t="s">
        <v>66</v>
      </c>
      <c r="E407" t="s">
        <v>67</v>
      </c>
      <c r="F407" t="s">
        <v>22</v>
      </c>
      <c r="G407" s="4">
        <v>37192.5</v>
      </c>
      <c r="H407" t="s">
        <v>43</v>
      </c>
      <c r="I407">
        <v>15000</v>
      </c>
      <c r="J407" s="4">
        <f t="shared" si="13"/>
        <v>3719.25</v>
      </c>
    </row>
    <row r="408" spans="1:10" x14ac:dyDescent="0.25">
      <c r="A408" s="1">
        <v>44348</v>
      </c>
      <c r="B408" t="s">
        <v>37</v>
      </c>
      <c r="C408" t="str">
        <f t="shared" si="12"/>
        <v>Tia Cruise</v>
      </c>
      <c r="D408" t="s">
        <v>38</v>
      </c>
      <c r="E408" t="s">
        <v>39</v>
      </c>
      <c r="F408" t="s">
        <v>22</v>
      </c>
      <c r="G408" s="4">
        <v>39653.9</v>
      </c>
      <c r="H408" t="s">
        <v>43</v>
      </c>
      <c r="I408">
        <v>15000</v>
      </c>
      <c r="J408" s="4">
        <f t="shared" si="13"/>
        <v>3965.3900000000003</v>
      </c>
    </row>
    <row r="409" spans="1:10" x14ac:dyDescent="0.25">
      <c r="A409" s="1">
        <v>44378</v>
      </c>
      <c r="B409" t="s">
        <v>137</v>
      </c>
      <c r="C409" t="str">
        <f t="shared" si="12"/>
        <v/>
      </c>
      <c r="F409" t="s">
        <v>22</v>
      </c>
      <c r="G409" s="4">
        <v>533.28</v>
      </c>
      <c r="H409" t="s">
        <v>15</v>
      </c>
      <c r="I409">
        <v>15000</v>
      </c>
      <c r="J409" s="4">
        <f t="shared" si="13"/>
        <v>0</v>
      </c>
    </row>
    <row r="410" spans="1:10" x14ac:dyDescent="0.25">
      <c r="A410" s="1">
        <v>44378</v>
      </c>
      <c r="B410" t="s">
        <v>137</v>
      </c>
      <c r="C410" t="str">
        <f t="shared" si="12"/>
        <v/>
      </c>
      <c r="F410" t="s">
        <v>22</v>
      </c>
      <c r="G410" s="4">
        <v>346.5</v>
      </c>
      <c r="H410" t="s">
        <v>15</v>
      </c>
      <c r="I410">
        <v>15000</v>
      </c>
      <c r="J410" s="4">
        <f t="shared" si="13"/>
        <v>0</v>
      </c>
    </row>
    <row r="411" spans="1:10" x14ac:dyDescent="0.25">
      <c r="A411" s="1">
        <v>44378</v>
      </c>
      <c r="B411" t="s">
        <v>137</v>
      </c>
      <c r="C411" t="str">
        <f t="shared" si="12"/>
        <v/>
      </c>
      <c r="F411" t="s">
        <v>22</v>
      </c>
      <c r="G411" s="4">
        <v>806.56</v>
      </c>
      <c r="H411" t="s">
        <v>43</v>
      </c>
      <c r="I411">
        <v>15000</v>
      </c>
      <c r="J411" s="4">
        <f t="shared" si="13"/>
        <v>0</v>
      </c>
    </row>
    <row r="412" spans="1:10" x14ac:dyDescent="0.25">
      <c r="A412" s="1">
        <v>44378</v>
      </c>
      <c r="B412" t="s">
        <v>137</v>
      </c>
      <c r="C412" t="str">
        <f t="shared" si="12"/>
        <v/>
      </c>
      <c r="F412" t="s">
        <v>22</v>
      </c>
      <c r="G412" s="4">
        <v>1154.3</v>
      </c>
      <c r="H412" t="s">
        <v>11</v>
      </c>
      <c r="I412">
        <v>15000</v>
      </c>
      <c r="J412" s="4">
        <f t="shared" si="13"/>
        <v>0</v>
      </c>
    </row>
    <row r="413" spans="1:10" x14ac:dyDescent="0.25">
      <c r="A413" s="1">
        <v>44378</v>
      </c>
      <c r="B413" t="s">
        <v>137</v>
      </c>
      <c r="C413" t="str">
        <f t="shared" si="12"/>
        <v/>
      </c>
      <c r="F413" t="s">
        <v>22</v>
      </c>
      <c r="G413" s="4">
        <v>1115.55</v>
      </c>
      <c r="H413" t="s">
        <v>11</v>
      </c>
      <c r="I413">
        <v>15000</v>
      </c>
      <c r="J413" s="4">
        <f t="shared" si="13"/>
        <v>0</v>
      </c>
    </row>
    <row r="414" spans="1:10" x14ac:dyDescent="0.25">
      <c r="A414" s="1">
        <v>44378</v>
      </c>
      <c r="B414" t="s">
        <v>137</v>
      </c>
      <c r="C414" t="str">
        <f t="shared" si="12"/>
        <v/>
      </c>
      <c r="F414" t="s">
        <v>22</v>
      </c>
      <c r="G414" s="4">
        <v>1064.8999999999999</v>
      </c>
      <c r="H414" t="s">
        <v>43</v>
      </c>
      <c r="I414">
        <v>15000</v>
      </c>
      <c r="J414" s="4">
        <f t="shared" si="13"/>
        <v>0</v>
      </c>
    </row>
    <row r="415" spans="1:10" x14ac:dyDescent="0.25">
      <c r="A415" s="1">
        <v>44378</v>
      </c>
      <c r="B415" t="s">
        <v>137</v>
      </c>
      <c r="C415" t="str">
        <f t="shared" si="12"/>
        <v/>
      </c>
      <c r="F415" t="s">
        <v>22</v>
      </c>
      <c r="G415" s="4">
        <v>2439.5100000000002</v>
      </c>
      <c r="H415" t="s">
        <v>11</v>
      </c>
      <c r="I415">
        <v>15000</v>
      </c>
      <c r="J415" s="4">
        <f t="shared" si="13"/>
        <v>0</v>
      </c>
    </row>
    <row r="416" spans="1:10" x14ac:dyDescent="0.25">
      <c r="A416" s="1">
        <v>44378</v>
      </c>
      <c r="B416" t="s">
        <v>137</v>
      </c>
      <c r="C416" t="str">
        <f t="shared" si="12"/>
        <v/>
      </c>
      <c r="F416" t="s">
        <v>22</v>
      </c>
      <c r="G416" s="4">
        <v>1563.32</v>
      </c>
      <c r="H416" t="s">
        <v>15</v>
      </c>
      <c r="I416">
        <v>15000</v>
      </c>
      <c r="J416" s="4">
        <f t="shared" si="13"/>
        <v>0</v>
      </c>
    </row>
    <row r="417" spans="1:10" x14ac:dyDescent="0.25">
      <c r="A417" s="1">
        <v>44378</v>
      </c>
      <c r="B417" t="s">
        <v>137</v>
      </c>
      <c r="C417" t="str">
        <f t="shared" si="12"/>
        <v/>
      </c>
      <c r="F417" t="s">
        <v>22</v>
      </c>
      <c r="G417" s="4">
        <v>1067.94</v>
      </c>
      <c r="H417" t="s">
        <v>43</v>
      </c>
      <c r="I417">
        <v>15000</v>
      </c>
      <c r="J417" s="4">
        <f t="shared" si="13"/>
        <v>0</v>
      </c>
    </row>
    <row r="418" spans="1:10" x14ac:dyDescent="0.25">
      <c r="A418" s="1">
        <v>44378</v>
      </c>
      <c r="B418" t="s">
        <v>137</v>
      </c>
      <c r="C418" t="str">
        <f t="shared" si="12"/>
        <v/>
      </c>
      <c r="F418" t="s">
        <v>22</v>
      </c>
      <c r="G418" s="4">
        <v>2086.8399999999997</v>
      </c>
      <c r="H418" t="s">
        <v>15</v>
      </c>
      <c r="I418">
        <v>15000</v>
      </c>
      <c r="J418" s="4">
        <f t="shared" si="13"/>
        <v>0</v>
      </c>
    </row>
    <row r="419" spans="1:10" x14ac:dyDescent="0.25">
      <c r="A419" s="1">
        <v>44378</v>
      </c>
      <c r="B419" t="s">
        <v>137</v>
      </c>
      <c r="C419" t="str">
        <f t="shared" si="12"/>
        <v/>
      </c>
      <c r="F419" t="s">
        <v>22</v>
      </c>
      <c r="G419" s="4">
        <v>1006.72</v>
      </c>
      <c r="H419" t="s">
        <v>43</v>
      </c>
      <c r="I419">
        <v>15000</v>
      </c>
      <c r="J419" s="4">
        <f t="shared" si="13"/>
        <v>0</v>
      </c>
    </row>
    <row r="420" spans="1:10" x14ac:dyDescent="0.25">
      <c r="A420" s="1">
        <v>44378</v>
      </c>
      <c r="B420" t="s">
        <v>37</v>
      </c>
      <c r="C420" t="str">
        <f t="shared" si="12"/>
        <v>Tia Cruise</v>
      </c>
      <c r="D420" t="s">
        <v>38</v>
      </c>
      <c r="E420" t="s">
        <v>39</v>
      </c>
      <c r="F420" t="s">
        <v>22</v>
      </c>
      <c r="G420" s="4">
        <v>3465</v>
      </c>
      <c r="H420" t="s">
        <v>15</v>
      </c>
      <c r="I420">
        <v>15000</v>
      </c>
      <c r="J420" s="4">
        <f t="shared" si="13"/>
        <v>0</v>
      </c>
    </row>
    <row r="421" spans="1:10" x14ac:dyDescent="0.25">
      <c r="A421" s="1">
        <v>44378</v>
      </c>
      <c r="B421" t="s">
        <v>53</v>
      </c>
      <c r="C421" t="str">
        <f t="shared" si="12"/>
        <v>Josh Sutherland</v>
      </c>
      <c r="D421" t="s">
        <v>54</v>
      </c>
      <c r="E421" t="s">
        <v>55</v>
      </c>
      <c r="F421" t="s">
        <v>22</v>
      </c>
      <c r="G421" s="4">
        <v>5332.7999999999993</v>
      </c>
      <c r="H421" t="s">
        <v>15</v>
      </c>
      <c r="I421">
        <v>15000</v>
      </c>
      <c r="J421" s="4">
        <f t="shared" si="13"/>
        <v>0</v>
      </c>
    </row>
    <row r="422" spans="1:10" x14ac:dyDescent="0.25">
      <c r="A422" s="1">
        <v>44378</v>
      </c>
      <c r="B422" t="s">
        <v>44</v>
      </c>
      <c r="C422" t="str">
        <f t="shared" si="12"/>
        <v>Ally Bryant</v>
      </c>
      <c r="D422" t="s">
        <v>45</v>
      </c>
      <c r="E422" t="s">
        <v>46</v>
      </c>
      <c r="F422" t="s">
        <v>22</v>
      </c>
      <c r="G422" s="4">
        <v>8065.5999999999995</v>
      </c>
      <c r="H422" t="s">
        <v>43</v>
      </c>
      <c r="I422">
        <v>15000</v>
      </c>
      <c r="J422" s="4">
        <f t="shared" si="13"/>
        <v>0</v>
      </c>
    </row>
    <row r="423" spans="1:10" x14ac:dyDescent="0.25">
      <c r="A423" s="1">
        <v>44378</v>
      </c>
      <c r="B423" t="s">
        <v>44</v>
      </c>
      <c r="C423" t="str">
        <f t="shared" si="12"/>
        <v>Ally Bryant</v>
      </c>
      <c r="D423" t="s">
        <v>45</v>
      </c>
      <c r="E423" t="s">
        <v>46</v>
      </c>
      <c r="F423" t="s">
        <v>22</v>
      </c>
      <c r="G423" s="4">
        <v>10067.200000000001</v>
      </c>
      <c r="H423" t="s">
        <v>43</v>
      </c>
      <c r="I423">
        <v>15000</v>
      </c>
      <c r="J423" s="4">
        <f t="shared" si="13"/>
        <v>0</v>
      </c>
    </row>
    <row r="424" spans="1:10" x14ac:dyDescent="0.25">
      <c r="A424" s="1">
        <v>44378</v>
      </c>
      <c r="B424" t="s">
        <v>44</v>
      </c>
      <c r="C424" t="str">
        <f t="shared" si="12"/>
        <v>Ally Bryant</v>
      </c>
      <c r="D424" t="s">
        <v>45</v>
      </c>
      <c r="E424" t="s">
        <v>46</v>
      </c>
      <c r="F424" t="s">
        <v>22</v>
      </c>
      <c r="G424" s="4">
        <v>10648.999999999998</v>
      </c>
      <c r="H424" t="s">
        <v>43</v>
      </c>
      <c r="I424">
        <v>15000</v>
      </c>
      <c r="J424" s="4">
        <f t="shared" si="13"/>
        <v>0</v>
      </c>
    </row>
    <row r="425" spans="1:10" x14ac:dyDescent="0.25">
      <c r="A425" s="1">
        <v>44378</v>
      </c>
      <c r="B425" t="s">
        <v>53</v>
      </c>
      <c r="C425" t="str">
        <f t="shared" si="12"/>
        <v>Josh Sutherland</v>
      </c>
      <c r="D425" t="s">
        <v>54</v>
      </c>
      <c r="E425" t="s">
        <v>55</v>
      </c>
      <c r="F425" t="s">
        <v>22</v>
      </c>
      <c r="G425" s="4">
        <v>10679.400000000001</v>
      </c>
      <c r="H425" t="s">
        <v>43</v>
      </c>
      <c r="I425">
        <v>15000</v>
      </c>
      <c r="J425" s="4">
        <f t="shared" si="13"/>
        <v>0</v>
      </c>
    </row>
    <row r="426" spans="1:10" x14ac:dyDescent="0.25">
      <c r="A426" s="1">
        <v>44378</v>
      </c>
      <c r="B426" t="s">
        <v>65</v>
      </c>
      <c r="C426" t="str">
        <f t="shared" si="12"/>
        <v>Spencer Cruz</v>
      </c>
      <c r="D426" t="s">
        <v>66</v>
      </c>
      <c r="E426" t="s">
        <v>67</v>
      </c>
      <c r="F426" t="s">
        <v>22</v>
      </c>
      <c r="G426" s="4">
        <v>11155.5</v>
      </c>
      <c r="H426" t="s">
        <v>11</v>
      </c>
      <c r="I426">
        <v>15000</v>
      </c>
      <c r="J426" s="4">
        <f t="shared" si="13"/>
        <v>0</v>
      </c>
    </row>
    <row r="427" spans="1:10" x14ac:dyDescent="0.25">
      <c r="A427" s="1">
        <v>44378</v>
      </c>
      <c r="B427" t="s">
        <v>44</v>
      </c>
      <c r="C427" t="str">
        <f t="shared" si="12"/>
        <v>Ally Bryant</v>
      </c>
      <c r="D427" t="s">
        <v>45</v>
      </c>
      <c r="E427" t="s">
        <v>46</v>
      </c>
      <c r="F427" t="s">
        <v>22</v>
      </c>
      <c r="G427" s="4">
        <v>11543</v>
      </c>
      <c r="H427" t="s">
        <v>11</v>
      </c>
      <c r="I427">
        <v>15000</v>
      </c>
      <c r="J427" s="4">
        <f t="shared" si="13"/>
        <v>0</v>
      </c>
    </row>
    <row r="428" spans="1:10" x14ac:dyDescent="0.25">
      <c r="A428" s="1">
        <v>44378</v>
      </c>
      <c r="B428" t="s">
        <v>44</v>
      </c>
      <c r="C428" t="str">
        <f t="shared" si="12"/>
        <v>Ally Bryant</v>
      </c>
      <c r="D428" t="s">
        <v>45</v>
      </c>
      <c r="E428" t="s">
        <v>46</v>
      </c>
      <c r="F428" t="s">
        <v>22</v>
      </c>
      <c r="G428" s="4">
        <v>15633.199999999999</v>
      </c>
      <c r="H428" t="s">
        <v>15</v>
      </c>
      <c r="I428">
        <v>15000</v>
      </c>
      <c r="J428" s="4">
        <f t="shared" si="13"/>
        <v>1563.32</v>
      </c>
    </row>
    <row r="429" spans="1:10" x14ac:dyDescent="0.25">
      <c r="A429" s="1">
        <v>44378</v>
      </c>
      <c r="B429" t="s">
        <v>44</v>
      </c>
      <c r="C429" t="str">
        <f t="shared" si="12"/>
        <v>Ally Bryant</v>
      </c>
      <c r="D429" t="s">
        <v>45</v>
      </c>
      <c r="E429" t="s">
        <v>46</v>
      </c>
      <c r="F429" t="s">
        <v>22</v>
      </c>
      <c r="G429" s="4">
        <v>20868.399999999998</v>
      </c>
      <c r="H429" t="s">
        <v>15</v>
      </c>
      <c r="I429">
        <v>15000</v>
      </c>
      <c r="J429" s="4">
        <f t="shared" si="13"/>
        <v>2086.8399999999997</v>
      </c>
    </row>
    <row r="430" spans="1:10" x14ac:dyDescent="0.25">
      <c r="A430" s="1">
        <v>44378</v>
      </c>
      <c r="B430" t="s">
        <v>44</v>
      </c>
      <c r="C430" t="str">
        <f t="shared" si="12"/>
        <v>Ally Bryant</v>
      </c>
      <c r="D430" t="s">
        <v>45</v>
      </c>
      <c r="E430" t="s">
        <v>46</v>
      </c>
      <c r="F430" t="s">
        <v>22</v>
      </c>
      <c r="G430" s="4">
        <v>24395.100000000002</v>
      </c>
      <c r="H430" t="s">
        <v>11</v>
      </c>
      <c r="I430">
        <v>15000</v>
      </c>
      <c r="J430" s="4">
        <f t="shared" si="13"/>
        <v>2439.5100000000002</v>
      </c>
    </row>
    <row r="431" spans="1:10" x14ac:dyDescent="0.25">
      <c r="A431" s="1">
        <v>44409</v>
      </c>
      <c r="B431" t="s">
        <v>137</v>
      </c>
      <c r="C431" t="str">
        <f t="shared" si="12"/>
        <v/>
      </c>
      <c r="F431" t="s">
        <v>22</v>
      </c>
      <c r="G431" s="4">
        <v>376.05</v>
      </c>
      <c r="H431" t="s">
        <v>11</v>
      </c>
      <c r="I431">
        <v>15000</v>
      </c>
      <c r="J431" s="4">
        <f t="shared" si="13"/>
        <v>0</v>
      </c>
    </row>
    <row r="432" spans="1:10" x14ac:dyDescent="0.25">
      <c r="A432" s="1">
        <v>44409</v>
      </c>
      <c r="B432" t="s">
        <v>137</v>
      </c>
      <c r="C432" t="str">
        <f t="shared" si="12"/>
        <v/>
      </c>
      <c r="F432" t="s">
        <v>22</v>
      </c>
      <c r="G432" s="4">
        <v>3608.81</v>
      </c>
      <c r="H432" t="s">
        <v>43</v>
      </c>
      <c r="I432">
        <v>15000</v>
      </c>
      <c r="J432" s="4">
        <f t="shared" si="13"/>
        <v>0</v>
      </c>
    </row>
    <row r="433" spans="1:10" x14ac:dyDescent="0.25">
      <c r="A433" s="1">
        <v>44409</v>
      </c>
      <c r="B433" t="s">
        <v>137</v>
      </c>
      <c r="C433" t="str">
        <f t="shared" si="12"/>
        <v/>
      </c>
      <c r="F433" t="s">
        <v>22</v>
      </c>
      <c r="G433" s="4">
        <v>969.76</v>
      </c>
      <c r="H433" t="s">
        <v>15</v>
      </c>
      <c r="I433">
        <v>15000</v>
      </c>
      <c r="J433" s="4">
        <f t="shared" si="13"/>
        <v>0</v>
      </c>
    </row>
    <row r="434" spans="1:10" x14ac:dyDescent="0.25">
      <c r="A434" s="1">
        <v>44409</v>
      </c>
      <c r="B434" t="s">
        <v>137</v>
      </c>
      <c r="C434" t="str">
        <f t="shared" si="12"/>
        <v/>
      </c>
      <c r="F434" t="s">
        <v>22</v>
      </c>
      <c r="G434" s="4">
        <v>2247.79</v>
      </c>
      <c r="H434" t="s">
        <v>15</v>
      </c>
      <c r="I434">
        <v>15000</v>
      </c>
      <c r="J434" s="4">
        <f t="shared" si="13"/>
        <v>0</v>
      </c>
    </row>
    <row r="435" spans="1:10" x14ac:dyDescent="0.25">
      <c r="A435" s="1">
        <v>44409</v>
      </c>
      <c r="B435" t="s">
        <v>137</v>
      </c>
      <c r="C435" t="str">
        <f t="shared" si="12"/>
        <v/>
      </c>
      <c r="F435" t="s">
        <v>22</v>
      </c>
      <c r="G435" s="4">
        <v>432.28000000000003</v>
      </c>
      <c r="H435" t="s">
        <v>43</v>
      </c>
      <c r="I435">
        <v>15000</v>
      </c>
      <c r="J435" s="4">
        <f t="shared" si="13"/>
        <v>0</v>
      </c>
    </row>
    <row r="436" spans="1:10" x14ac:dyDescent="0.25">
      <c r="A436" s="1">
        <v>44409</v>
      </c>
      <c r="B436" t="s">
        <v>137</v>
      </c>
      <c r="C436" t="str">
        <f t="shared" si="12"/>
        <v/>
      </c>
      <c r="F436" t="s">
        <v>22</v>
      </c>
      <c r="G436" s="4">
        <v>4338.8100000000004</v>
      </c>
      <c r="H436" t="s">
        <v>15</v>
      </c>
      <c r="I436">
        <v>15000</v>
      </c>
      <c r="J436" s="4">
        <f t="shared" si="13"/>
        <v>0</v>
      </c>
    </row>
    <row r="437" spans="1:10" x14ac:dyDescent="0.25">
      <c r="A437" s="1">
        <v>44409</v>
      </c>
      <c r="B437" t="s">
        <v>137</v>
      </c>
      <c r="C437" t="str">
        <f t="shared" si="12"/>
        <v/>
      </c>
      <c r="F437" t="s">
        <v>22</v>
      </c>
      <c r="G437" s="4">
        <v>1567.02</v>
      </c>
      <c r="H437" t="s">
        <v>43</v>
      </c>
      <c r="I437">
        <v>15000</v>
      </c>
      <c r="J437" s="4">
        <f t="shared" si="13"/>
        <v>0</v>
      </c>
    </row>
    <row r="438" spans="1:10" x14ac:dyDescent="0.25">
      <c r="A438" s="1">
        <v>44409</v>
      </c>
      <c r="B438" t="s">
        <v>137</v>
      </c>
      <c r="C438" t="str">
        <f t="shared" si="12"/>
        <v/>
      </c>
      <c r="F438" t="s">
        <v>22</v>
      </c>
      <c r="G438" s="4">
        <v>1039.1699999999998</v>
      </c>
      <c r="H438" t="s">
        <v>43</v>
      </c>
      <c r="I438">
        <v>15000</v>
      </c>
      <c r="J438" s="4">
        <f t="shared" si="13"/>
        <v>0</v>
      </c>
    </row>
    <row r="439" spans="1:10" x14ac:dyDescent="0.25">
      <c r="A439" s="1">
        <v>44409</v>
      </c>
      <c r="B439" t="s">
        <v>44</v>
      </c>
      <c r="C439" t="str">
        <f t="shared" si="12"/>
        <v>Ally Bryant</v>
      </c>
      <c r="D439" t="s">
        <v>45</v>
      </c>
      <c r="E439" t="s">
        <v>46</v>
      </c>
      <c r="F439" t="s">
        <v>22</v>
      </c>
      <c r="G439" s="4">
        <v>3760.5</v>
      </c>
      <c r="H439" t="s">
        <v>11</v>
      </c>
      <c r="I439">
        <v>15000</v>
      </c>
      <c r="J439" s="4">
        <f t="shared" si="13"/>
        <v>0</v>
      </c>
    </row>
    <row r="440" spans="1:10" x14ac:dyDescent="0.25">
      <c r="A440" s="1">
        <v>44409</v>
      </c>
      <c r="B440" t="s">
        <v>44</v>
      </c>
      <c r="C440" t="str">
        <f t="shared" si="12"/>
        <v>Ally Bryant</v>
      </c>
      <c r="D440" t="s">
        <v>45</v>
      </c>
      <c r="E440" t="s">
        <v>46</v>
      </c>
      <c r="F440" t="s">
        <v>22</v>
      </c>
      <c r="G440" s="4">
        <v>4322.8</v>
      </c>
      <c r="H440" t="s">
        <v>43</v>
      </c>
      <c r="I440">
        <v>15000</v>
      </c>
      <c r="J440" s="4">
        <f t="shared" si="13"/>
        <v>0</v>
      </c>
    </row>
    <row r="441" spans="1:10" x14ac:dyDescent="0.25">
      <c r="A441" s="1">
        <v>44409</v>
      </c>
      <c r="B441" t="s">
        <v>44</v>
      </c>
      <c r="C441" t="str">
        <f t="shared" si="12"/>
        <v>Ally Bryant</v>
      </c>
      <c r="D441" t="s">
        <v>45</v>
      </c>
      <c r="E441" t="s">
        <v>46</v>
      </c>
      <c r="F441" t="s">
        <v>22</v>
      </c>
      <c r="G441" s="4">
        <v>9697.6</v>
      </c>
      <c r="H441" t="s">
        <v>15</v>
      </c>
      <c r="I441">
        <v>15000</v>
      </c>
      <c r="J441" s="4">
        <f t="shared" si="13"/>
        <v>0</v>
      </c>
    </row>
    <row r="442" spans="1:10" x14ac:dyDescent="0.25">
      <c r="A442" s="1">
        <v>44409</v>
      </c>
      <c r="B442" t="s">
        <v>44</v>
      </c>
      <c r="C442" t="str">
        <f t="shared" si="12"/>
        <v>Ally Bryant</v>
      </c>
      <c r="D442" t="s">
        <v>45</v>
      </c>
      <c r="E442" t="s">
        <v>46</v>
      </c>
      <c r="F442" t="s">
        <v>22</v>
      </c>
      <c r="G442" s="4">
        <v>10391.699999999999</v>
      </c>
      <c r="H442" t="s">
        <v>43</v>
      </c>
      <c r="I442">
        <v>15000</v>
      </c>
      <c r="J442" s="4">
        <f t="shared" si="13"/>
        <v>0</v>
      </c>
    </row>
    <row r="443" spans="1:10" x14ac:dyDescent="0.25">
      <c r="A443" s="1">
        <v>44409</v>
      </c>
      <c r="B443" t="s">
        <v>65</v>
      </c>
      <c r="C443" t="str">
        <f t="shared" si="12"/>
        <v>Spencer Cruz</v>
      </c>
      <c r="D443" t="s">
        <v>66</v>
      </c>
      <c r="E443" t="s">
        <v>67</v>
      </c>
      <c r="F443" t="s">
        <v>22</v>
      </c>
      <c r="G443" s="4">
        <v>15670.2</v>
      </c>
      <c r="H443" t="s">
        <v>43</v>
      </c>
      <c r="I443">
        <v>15000</v>
      </c>
      <c r="J443" s="4">
        <f t="shared" si="13"/>
        <v>1567.0200000000002</v>
      </c>
    </row>
    <row r="444" spans="1:10" x14ac:dyDescent="0.25">
      <c r="A444" s="1">
        <v>44409</v>
      </c>
      <c r="B444" t="s">
        <v>53</v>
      </c>
      <c r="C444" t="str">
        <f t="shared" si="12"/>
        <v>Josh Sutherland</v>
      </c>
      <c r="D444" t="s">
        <v>54</v>
      </c>
      <c r="E444" t="s">
        <v>55</v>
      </c>
      <c r="F444" t="s">
        <v>22</v>
      </c>
      <c r="G444" s="4">
        <v>22477.9</v>
      </c>
      <c r="H444" t="s">
        <v>15</v>
      </c>
      <c r="I444">
        <v>15000</v>
      </c>
      <c r="J444" s="4">
        <f t="shared" si="13"/>
        <v>2247.7900000000004</v>
      </c>
    </row>
    <row r="445" spans="1:10" x14ac:dyDescent="0.25">
      <c r="A445" s="1">
        <v>44409</v>
      </c>
      <c r="B445" t="s">
        <v>53</v>
      </c>
      <c r="C445" t="str">
        <f t="shared" si="12"/>
        <v>Josh Sutherland</v>
      </c>
      <c r="D445" t="s">
        <v>54</v>
      </c>
      <c r="E445" t="s">
        <v>55</v>
      </c>
      <c r="F445" t="s">
        <v>22</v>
      </c>
      <c r="G445" s="4">
        <v>36088.1</v>
      </c>
      <c r="H445" t="s">
        <v>43</v>
      </c>
      <c r="I445">
        <v>15000</v>
      </c>
      <c r="J445" s="4">
        <f t="shared" si="13"/>
        <v>3608.81</v>
      </c>
    </row>
    <row r="446" spans="1:10" x14ac:dyDescent="0.25">
      <c r="A446" s="1">
        <v>44409</v>
      </c>
      <c r="B446" t="s">
        <v>19</v>
      </c>
      <c r="C446" t="str">
        <f t="shared" si="12"/>
        <v>Nina McDonald</v>
      </c>
      <c r="D446" t="s">
        <v>20</v>
      </c>
      <c r="E446" t="s">
        <v>21</v>
      </c>
      <c r="F446" t="s">
        <v>22</v>
      </c>
      <c r="G446" s="4">
        <v>43388.100000000006</v>
      </c>
      <c r="H446" t="s">
        <v>15</v>
      </c>
      <c r="I446">
        <v>15000</v>
      </c>
      <c r="J446" s="4">
        <f t="shared" si="13"/>
        <v>4338.8100000000004</v>
      </c>
    </row>
    <row r="447" spans="1:10" x14ac:dyDescent="0.25">
      <c r="A447" s="1">
        <v>44440</v>
      </c>
      <c r="B447" t="s">
        <v>137</v>
      </c>
      <c r="C447" t="str">
        <f t="shared" si="12"/>
        <v/>
      </c>
      <c r="F447" t="s">
        <v>22</v>
      </c>
      <c r="G447" s="4">
        <v>771.4</v>
      </c>
      <c r="H447" t="s">
        <v>11</v>
      </c>
      <c r="I447">
        <v>15000</v>
      </c>
      <c r="J447" s="4">
        <f t="shared" si="13"/>
        <v>0</v>
      </c>
    </row>
    <row r="448" spans="1:10" x14ac:dyDescent="0.25">
      <c r="A448" s="1">
        <v>44440</v>
      </c>
      <c r="B448" t="s">
        <v>137</v>
      </c>
      <c r="C448" t="str">
        <f t="shared" si="12"/>
        <v/>
      </c>
      <c r="F448" t="s">
        <v>22</v>
      </c>
      <c r="G448" s="4">
        <v>1636.39</v>
      </c>
      <c r="H448" t="s">
        <v>11</v>
      </c>
      <c r="I448">
        <v>15000</v>
      </c>
      <c r="J448" s="4">
        <f t="shared" si="13"/>
        <v>0</v>
      </c>
    </row>
    <row r="449" spans="1:10" x14ac:dyDescent="0.25">
      <c r="A449" s="1">
        <v>44440</v>
      </c>
      <c r="B449" t="s">
        <v>137</v>
      </c>
      <c r="C449" t="str">
        <f t="shared" si="12"/>
        <v/>
      </c>
      <c r="F449" t="s">
        <v>22</v>
      </c>
      <c r="G449" s="4">
        <v>1515.2399999999998</v>
      </c>
      <c r="H449" t="s">
        <v>43</v>
      </c>
      <c r="I449">
        <v>15000</v>
      </c>
      <c r="J449" s="4">
        <f t="shared" si="13"/>
        <v>0</v>
      </c>
    </row>
    <row r="450" spans="1:10" x14ac:dyDescent="0.25">
      <c r="A450" s="1">
        <v>44440</v>
      </c>
      <c r="B450" t="s">
        <v>37</v>
      </c>
      <c r="C450" t="str">
        <f t="shared" si="12"/>
        <v>Tia Cruise</v>
      </c>
      <c r="D450" t="s">
        <v>38</v>
      </c>
      <c r="E450" t="s">
        <v>39</v>
      </c>
      <c r="F450" t="s">
        <v>22</v>
      </c>
      <c r="G450" s="4">
        <v>7714</v>
      </c>
      <c r="H450" t="s">
        <v>11</v>
      </c>
      <c r="I450">
        <v>15000</v>
      </c>
      <c r="J450" s="4">
        <f t="shared" si="13"/>
        <v>0</v>
      </c>
    </row>
    <row r="451" spans="1:10" x14ac:dyDescent="0.25">
      <c r="A451" s="1">
        <v>44440</v>
      </c>
      <c r="B451" t="s">
        <v>19</v>
      </c>
      <c r="C451" t="str">
        <f t="shared" ref="C451:C488" si="14">TRIM(B451)</f>
        <v>Nina McDonald</v>
      </c>
      <c r="D451" t="s">
        <v>20</v>
      </c>
      <c r="E451" t="s">
        <v>21</v>
      </c>
      <c r="F451" t="s">
        <v>22</v>
      </c>
      <c r="G451" s="4">
        <v>15152.399999999998</v>
      </c>
      <c r="H451" t="s">
        <v>43</v>
      </c>
      <c r="I451">
        <v>15000</v>
      </c>
      <c r="J451" s="4">
        <f t="shared" ref="J451:J488" si="15">IF(G451&gt;=I451,G451*$L$2,0)</f>
        <v>1515.2399999999998</v>
      </c>
    </row>
    <row r="452" spans="1:10" x14ac:dyDescent="0.25">
      <c r="A452" s="1">
        <v>44440</v>
      </c>
      <c r="B452" t="s">
        <v>44</v>
      </c>
      <c r="C452" t="str">
        <f t="shared" si="14"/>
        <v>Ally Bryant</v>
      </c>
      <c r="D452" t="s">
        <v>45</v>
      </c>
      <c r="E452" t="s">
        <v>46</v>
      </c>
      <c r="F452" t="s">
        <v>22</v>
      </c>
      <c r="G452" s="4">
        <v>16363.900000000001</v>
      </c>
      <c r="H452" t="s">
        <v>11</v>
      </c>
      <c r="I452">
        <v>15000</v>
      </c>
      <c r="J452" s="4">
        <f t="shared" si="15"/>
        <v>1636.3900000000003</v>
      </c>
    </row>
    <row r="453" spans="1:10" x14ac:dyDescent="0.25">
      <c r="A453" s="1">
        <v>44470</v>
      </c>
      <c r="B453" t="s">
        <v>137</v>
      </c>
      <c r="C453" t="str">
        <f t="shared" si="14"/>
        <v/>
      </c>
      <c r="F453" t="s">
        <v>22</v>
      </c>
      <c r="G453" s="4">
        <v>4142.07</v>
      </c>
      <c r="H453" t="s">
        <v>11</v>
      </c>
      <c r="I453">
        <v>15000</v>
      </c>
      <c r="J453" s="4">
        <f t="shared" si="15"/>
        <v>0</v>
      </c>
    </row>
    <row r="454" spans="1:10" x14ac:dyDescent="0.25">
      <c r="A454" s="1">
        <v>44470</v>
      </c>
      <c r="B454" t="s">
        <v>137</v>
      </c>
      <c r="C454" t="str">
        <f t="shared" si="14"/>
        <v/>
      </c>
      <c r="F454" t="s">
        <v>22</v>
      </c>
      <c r="G454" s="4">
        <v>1069.47</v>
      </c>
      <c r="H454" t="s">
        <v>43</v>
      </c>
      <c r="I454">
        <v>15000</v>
      </c>
      <c r="J454" s="4">
        <f t="shared" si="15"/>
        <v>0</v>
      </c>
    </row>
    <row r="455" spans="1:10" x14ac:dyDescent="0.25">
      <c r="A455" s="1">
        <v>44470</v>
      </c>
      <c r="B455" t="s">
        <v>137</v>
      </c>
      <c r="C455" t="str">
        <f t="shared" si="14"/>
        <v/>
      </c>
      <c r="F455" t="s">
        <v>22</v>
      </c>
      <c r="G455" s="4">
        <v>1059.52</v>
      </c>
      <c r="H455" t="s">
        <v>43</v>
      </c>
      <c r="I455">
        <v>15000</v>
      </c>
      <c r="J455" s="4">
        <f t="shared" si="15"/>
        <v>0</v>
      </c>
    </row>
    <row r="456" spans="1:10" x14ac:dyDescent="0.25">
      <c r="A456" s="1">
        <v>44470</v>
      </c>
      <c r="B456" t="s">
        <v>137</v>
      </c>
      <c r="C456" t="str">
        <f t="shared" si="14"/>
        <v/>
      </c>
      <c r="F456" t="s">
        <v>22</v>
      </c>
      <c r="G456" s="4">
        <v>1423.54</v>
      </c>
      <c r="H456" t="s">
        <v>43</v>
      </c>
      <c r="I456">
        <v>15000</v>
      </c>
      <c r="J456" s="4">
        <f t="shared" si="15"/>
        <v>0</v>
      </c>
    </row>
    <row r="457" spans="1:10" x14ac:dyDescent="0.25">
      <c r="A457" s="1">
        <v>44470</v>
      </c>
      <c r="B457" t="s">
        <v>137</v>
      </c>
      <c r="C457" t="str">
        <f t="shared" si="14"/>
        <v/>
      </c>
      <c r="F457" t="s">
        <v>22</v>
      </c>
      <c r="G457" s="4">
        <v>3653.02</v>
      </c>
      <c r="H457" t="s">
        <v>15</v>
      </c>
      <c r="I457">
        <v>15000</v>
      </c>
      <c r="J457" s="4">
        <f t="shared" si="15"/>
        <v>0</v>
      </c>
    </row>
    <row r="458" spans="1:10" x14ac:dyDescent="0.25">
      <c r="A458" s="1">
        <v>44470</v>
      </c>
      <c r="B458" t="s">
        <v>137</v>
      </c>
      <c r="C458" t="str">
        <f t="shared" si="14"/>
        <v/>
      </c>
      <c r="F458" t="s">
        <v>22</v>
      </c>
      <c r="G458" s="4">
        <v>719.59999999999991</v>
      </c>
      <c r="H458" t="s">
        <v>15</v>
      </c>
      <c r="I458">
        <v>15000</v>
      </c>
      <c r="J458" s="4">
        <f t="shared" si="15"/>
        <v>0</v>
      </c>
    </row>
    <row r="459" spans="1:10" x14ac:dyDescent="0.25">
      <c r="A459" s="1">
        <v>44470</v>
      </c>
      <c r="B459" t="s">
        <v>137</v>
      </c>
      <c r="C459" t="str">
        <f t="shared" si="14"/>
        <v/>
      </c>
      <c r="F459" t="s">
        <v>22</v>
      </c>
      <c r="G459" s="4">
        <v>299.71999999999997</v>
      </c>
      <c r="H459" t="s">
        <v>11</v>
      </c>
      <c r="I459">
        <v>15000</v>
      </c>
      <c r="J459" s="4">
        <f t="shared" si="15"/>
        <v>0</v>
      </c>
    </row>
    <row r="460" spans="1:10" x14ac:dyDescent="0.25">
      <c r="A460" s="1">
        <v>44470</v>
      </c>
      <c r="B460" t="s">
        <v>137</v>
      </c>
      <c r="C460" t="str">
        <f t="shared" si="14"/>
        <v/>
      </c>
      <c r="F460" t="s">
        <v>22</v>
      </c>
      <c r="G460" s="4">
        <v>3689.62</v>
      </c>
      <c r="H460" t="s">
        <v>43</v>
      </c>
      <c r="I460">
        <v>15000</v>
      </c>
      <c r="J460" s="4">
        <f t="shared" si="15"/>
        <v>0</v>
      </c>
    </row>
    <row r="461" spans="1:10" x14ac:dyDescent="0.25">
      <c r="A461" s="1">
        <v>44470</v>
      </c>
      <c r="B461" t="s">
        <v>19</v>
      </c>
      <c r="C461" t="str">
        <f t="shared" si="14"/>
        <v>Nina McDonald</v>
      </c>
      <c r="D461" t="s">
        <v>20</v>
      </c>
      <c r="E461" t="s">
        <v>21</v>
      </c>
      <c r="F461" t="s">
        <v>22</v>
      </c>
      <c r="G461" s="4">
        <v>2997.2</v>
      </c>
      <c r="H461" t="s">
        <v>11</v>
      </c>
      <c r="I461">
        <v>15000</v>
      </c>
      <c r="J461" s="4">
        <f t="shared" si="15"/>
        <v>0</v>
      </c>
    </row>
    <row r="462" spans="1:10" x14ac:dyDescent="0.25">
      <c r="A462" s="1">
        <v>44470</v>
      </c>
      <c r="B462" t="s">
        <v>37</v>
      </c>
      <c r="C462" t="str">
        <f t="shared" si="14"/>
        <v>Tia Cruise</v>
      </c>
      <c r="D462" t="s">
        <v>38</v>
      </c>
      <c r="E462" t="s">
        <v>39</v>
      </c>
      <c r="F462" t="s">
        <v>22</v>
      </c>
      <c r="G462" s="4">
        <v>7195.9999999999991</v>
      </c>
      <c r="H462" t="s">
        <v>15</v>
      </c>
      <c r="I462">
        <v>15000</v>
      </c>
      <c r="J462" s="4">
        <f t="shared" si="15"/>
        <v>0</v>
      </c>
    </row>
    <row r="463" spans="1:10" x14ac:dyDescent="0.25">
      <c r="A463" s="1">
        <v>44470</v>
      </c>
      <c r="B463" t="s">
        <v>53</v>
      </c>
      <c r="C463" t="str">
        <f t="shared" si="14"/>
        <v>Josh Sutherland</v>
      </c>
      <c r="D463" t="s">
        <v>54</v>
      </c>
      <c r="E463" t="s">
        <v>55</v>
      </c>
      <c r="F463" t="s">
        <v>22</v>
      </c>
      <c r="G463" s="4">
        <v>10595.2</v>
      </c>
      <c r="H463" t="s">
        <v>43</v>
      </c>
      <c r="I463">
        <v>15000</v>
      </c>
      <c r="J463" s="4">
        <f t="shared" si="15"/>
        <v>0</v>
      </c>
    </row>
    <row r="464" spans="1:10" x14ac:dyDescent="0.25">
      <c r="A464" s="1">
        <v>44470</v>
      </c>
      <c r="B464" t="s">
        <v>37</v>
      </c>
      <c r="C464" t="str">
        <f t="shared" si="14"/>
        <v>Tia Cruise</v>
      </c>
      <c r="D464" t="s">
        <v>38</v>
      </c>
      <c r="E464" t="s">
        <v>39</v>
      </c>
      <c r="F464" t="s">
        <v>22</v>
      </c>
      <c r="G464" s="4">
        <v>10694.7</v>
      </c>
      <c r="H464" t="s">
        <v>43</v>
      </c>
      <c r="I464">
        <v>15000</v>
      </c>
      <c r="J464" s="4">
        <f t="shared" si="15"/>
        <v>0</v>
      </c>
    </row>
    <row r="465" spans="1:10" x14ac:dyDescent="0.25">
      <c r="A465" s="1">
        <v>44470</v>
      </c>
      <c r="B465" t="s">
        <v>53</v>
      </c>
      <c r="C465" t="str">
        <f t="shared" si="14"/>
        <v>Josh Sutherland</v>
      </c>
      <c r="D465" t="s">
        <v>54</v>
      </c>
      <c r="E465" t="s">
        <v>55</v>
      </c>
      <c r="F465" t="s">
        <v>22</v>
      </c>
      <c r="G465" s="4">
        <v>14235.4</v>
      </c>
      <c r="H465" t="s">
        <v>43</v>
      </c>
      <c r="I465">
        <v>15000</v>
      </c>
      <c r="J465" s="4">
        <f t="shared" si="15"/>
        <v>0</v>
      </c>
    </row>
    <row r="466" spans="1:10" x14ac:dyDescent="0.25">
      <c r="A466" s="1">
        <v>44470</v>
      </c>
      <c r="B466" t="s">
        <v>53</v>
      </c>
      <c r="C466" t="str">
        <f t="shared" si="14"/>
        <v>Josh Sutherland</v>
      </c>
      <c r="D466" t="s">
        <v>54</v>
      </c>
      <c r="E466" t="s">
        <v>55</v>
      </c>
      <c r="F466" t="s">
        <v>22</v>
      </c>
      <c r="G466" s="4">
        <v>36530.199999999997</v>
      </c>
      <c r="H466" t="s">
        <v>15</v>
      </c>
      <c r="I466">
        <v>15000</v>
      </c>
      <c r="J466" s="4">
        <f t="shared" si="15"/>
        <v>3653.02</v>
      </c>
    </row>
    <row r="467" spans="1:10" x14ac:dyDescent="0.25">
      <c r="A467" s="1">
        <v>44470</v>
      </c>
      <c r="B467" t="s">
        <v>65</v>
      </c>
      <c r="C467" t="str">
        <f t="shared" si="14"/>
        <v>Spencer Cruz</v>
      </c>
      <c r="D467" t="s">
        <v>66</v>
      </c>
      <c r="E467" t="s">
        <v>67</v>
      </c>
      <c r="F467" t="s">
        <v>22</v>
      </c>
      <c r="G467" s="4">
        <v>36896.199999999997</v>
      </c>
      <c r="H467" t="s">
        <v>43</v>
      </c>
      <c r="I467">
        <v>15000</v>
      </c>
      <c r="J467" s="4">
        <f t="shared" si="15"/>
        <v>3689.62</v>
      </c>
    </row>
    <row r="468" spans="1:10" x14ac:dyDescent="0.25">
      <c r="A468" s="1">
        <v>44470</v>
      </c>
      <c r="B468" t="s">
        <v>19</v>
      </c>
      <c r="C468" t="str">
        <f t="shared" si="14"/>
        <v>Nina McDonald</v>
      </c>
      <c r="D468" t="s">
        <v>20</v>
      </c>
      <c r="E468" t="s">
        <v>21</v>
      </c>
      <c r="F468" t="s">
        <v>22</v>
      </c>
      <c r="G468" s="4">
        <v>41420.699999999997</v>
      </c>
      <c r="H468" t="s">
        <v>11</v>
      </c>
      <c r="I468">
        <v>15000</v>
      </c>
      <c r="J468" s="4">
        <f t="shared" si="15"/>
        <v>4142.07</v>
      </c>
    </row>
    <row r="469" spans="1:10" x14ac:dyDescent="0.25">
      <c r="A469" s="1">
        <v>44501</v>
      </c>
      <c r="B469" t="s">
        <v>137</v>
      </c>
      <c r="C469" t="str">
        <f t="shared" si="14"/>
        <v/>
      </c>
      <c r="F469" t="s">
        <v>22</v>
      </c>
      <c r="G469" s="4">
        <v>1680.64</v>
      </c>
      <c r="H469" t="s">
        <v>11</v>
      </c>
      <c r="I469">
        <v>15000</v>
      </c>
      <c r="J469" s="4">
        <f t="shared" si="15"/>
        <v>0</v>
      </c>
    </row>
    <row r="470" spans="1:10" x14ac:dyDescent="0.25">
      <c r="A470" s="1">
        <v>44501</v>
      </c>
      <c r="B470" t="s">
        <v>137</v>
      </c>
      <c r="C470" t="str">
        <f t="shared" si="14"/>
        <v/>
      </c>
      <c r="F470" t="s">
        <v>22</v>
      </c>
      <c r="G470" s="4">
        <v>690</v>
      </c>
      <c r="H470" t="s">
        <v>15</v>
      </c>
      <c r="I470">
        <v>15000</v>
      </c>
      <c r="J470" s="4">
        <f t="shared" si="15"/>
        <v>0</v>
      </c>
    </row>
    <row r="471" spans="1:10" x14ac:dyDescent="0.25">
      <c r="A471" s="1">
        <v>44501</v>
      </c>
      <c r="B471" t="s">
        <v>137</v>
      </c>
      <c r="C471" t="str">
        <f t="shared" si="14"/>
        <v/>
      </c>
      <c r="F471" t="s">
        <v>22</v>
      </c>
      <c r="G471" s="4">
        <v>1430.29</v>
      </c>
      <c r="H471" t="s">
        <v>11</v>
      </c>
      <c r="I471">
        <v>15000</v>
      </c>
      <c r="J471" s="4">
        <f t="shared" si="15"/>
        <v>0</v>
      </c>
    </row>
    <row r="472" spans="1:10" x14ac:dyDescent="0.25">
      <c r="A472" s="1">
        <v>44501</v>
      </c>
      <c r="B472" t="s">
        <v>137</v>
      </c>
      <c r="C472" t="str">
        <f t="shared" si="14"/>
        <v/>
      </c>
      <c r="F472" t="s">
        <v>22</v>
      </c>
      <c r="G472" s="4">
        <v>2079.7200000000003</v>
      </c>
      <c r="H472" t="s">
        <v>15</v>
      </c>
      <c r="I472">
        <v>15000</v>
      </c>
      <c r="J472" s="4">
        <f t="shared" si="15"/>
        <v>0</v>
      </c>
    </row>
    <row r="473" spans="1:10" x14ac:dyDescent="0.25">
      <c r="A473" s="1">
        <v>44501</v>
      </c>
      <c r="B473" t="s">
        <v>137</v>
      </c>
      <c r="C473" t="str">
        <f t="shared" si="14"/>
        <v/>
      </c>
      <c r="F473" t="s">
        <v>22</v>
      </c>
      <c r="G473" s="4">
        <v>2686.6</v>
      </c>
      <c r="H473" t="s">
        <v>43</v>
      </c>
      <c r="I473">
        <v>15000</v>
      </c>
      <c r="J473" s="4">
        <f t="shared" si="15"/>
        <v>0</v>
      </c>
    </row>
    <row r="474" spans="1:10" x14ac:dyDescent="0.25">
      <c r="A474" s="1">
        <v>44501</v>
      </c>
      <c r="B474" t="s">
        <v>137</v>
      </c>
      <c r="C474" t="str">
        <f t="shared" si="14"/>
        <v/>
      </c>
      <c r="F474" t="s">
        <v>22</v>
      </c>
      <c r="G474" s="4">
        <v>968.3</v>
      </c>
      <c r="H474" t="s">
        <v>43</v>
      </c>
      <c r="I474">
        <v>15000</v>
      </c>
      <c r="J474" s="4">
        <f t="shared" si="15"/>
        <v>0</v>
      </c>
    </row>
    <row r="475" spans="1:10" x14ac:dyDescent="0.25">
      <c r="A475" s="1">
        <v>44501</v>
      </c>
      <c r="B475" t="s">
        <v>53</v>
      </c>
      <c r="C475" t="str">
        <f t="shared" si="14"/>
        <v>Josh Sutherland</v>
      </c>
      <c r="D475" t="s">
        <v>54</v>
      </c>
      <c r="E475" t="s">
        <v>55</v>
      </c>
      <c r="F475" t="s">
        <v>22</v>
      </c>
      <c r="G475" s="4">
        <v>6900</v>
      </c>
      <c r="H475" t="s">
        <v>15</v>
      </c>
      <c r="I475">
        <v>15000</v>
      </c>
      <c r="J475" s="4">
        <f t="shared" si="15"/>
        <v>0</v>
      </c>
    </row>
    <row r="476" spans="1:10" x14ac:dyDescent="0.25">
      <c r="A476" s="1">
        <v>44501</v>
      </c>
      <c r="B476" t="s">
        <v>65</v>
      </c>
      <c r="C476" t="str">
        <f t="shared" si="14"/>
        <v>Spencer Cruz</v>
      </c>
      <c r="D476" t="s">
        <v>66</v>
      </c>
      <c r="E476" t="s">
        <v>67</v>
      </c>
      <c r="F476" t="s">
        <v>22</v>
      </c>
      <c r="G476" s="4">
        <v>9683</v>
      </c>
      <c r="H476" t="s">
        <v>43</v>
      </c>
      <c r="I476">
        <v>15000</v>
      </c>
      <c r="J476" s="4">
        <f t="shared" si="15"/>
        <v>0</v>
      </c>
    </row>
    <row r="477" spans="1:10" x14ac:dyDescent="0.25">
      <c r="A477" s="1">
        <v>44501</v>
      </c>
      <c r="B477" t="s">
        <v>44</v>
      </c>
      <c r="C477" t="str">
        <f t="shared" si="14"/>
        <v>Ally Bryant</v>
      </c>
      <c r="D477" t="s">
        <v>45</v>
      </c>
      <c r="E477" t="s">
        <v>46</v>
      </c>
      <c r="F477" t="s">
        <v>22</v>
      </c>
      <c r="G477" s="4">
        <v>14302.9</v>
      </c>
      <c r="H477" t="s">
        <v>11</v>
      </c>
      <c r="I477">
        <v>15000</v>
      </c>
      <c r="J477" s="4">
        <f t="shared" si="15"/>
        <v>0</v>
      </c>
    </row>
    <row r="478" spans="1:10" x14ac:dyDescent="0.25">
      <c r="A478" s="1">
        <v>44501</v>
      </c>
      <c r="B478" t="s">
        <v>19</v>
      </c>
      <c r="C478" t="str">
        <f t="shared" si="14"/>
        <v>Nina McDonald</v>
      </c>
      <c r="D478" t="s">
        <v>20</v>
      </c>
      <c r="E478" t="s">
        <v>21</v>
      </c>
      <c r="F478" t="s">
        <v>22</v>
      </c>
      <c r="G478" s="4">
        <v>16806.400000000001</v>
      </c>
      <c r="H478" t="s">
        <v>11</v>
      </c>
      <c r="I478">
        <v>15000</v>
      </c>
      <c r="J478" s="4">
        <f t="shared" si="15"/>
        <v>1680.6400000000003</v>
      </c>
    </row>
    <row r="479" spans="1:10" x14ac:dyDescent="0.25">
      <c r="A479" s="1">
        <v>44501</v>
      </c>
      <c r="B479" t="s">
        <v>37</v>
      </c>
      <c r="C479" t="str">
        <f t="shared" si="14"/>
        <v>Tia Cruise</v>
      </c>
      <c r="D479" t="s">
        <v>38</v>
      </c>
      <c r="E479" t="s">
        <v>39</v>
      </c>
      <c r="F479" t="s">
        <v>22</v>
      </c>
      <c r="G479" s="4">
        <v>20797.200000000004</v>
      </c>
      <c r="H479" t="s">
        <v>15</v>
      </c>
      <c r="I479">
        <v>15000</v>
      </c>
      <c r="J479" s="4">
        <f t="shared" si="15"/>
        <v>2079.7200000000007</v>
      </c>
    </row>
    <row r="480" spans="1:10" x14ac:dyDescent="0.25">
      <c r="A480" s="1">
        <v>44501</v>
      </c>
      <c r="B480" t="s">
        <v>65</v>
      </c>
      <c r="C480" t="str">
        <f t="shared" si="14"/>
        <v>Spencer Cruz</v>
      </c>
      <c r="D480" t="s">
        <v>66</v>
      </c>
      <c r="E480" t="s">
        <v>67</v>
      </c>
      <c r="F480" t="s">
        <v>22</v>
      </c>
      <c r="G480" s="4">
        <v>26866</v>
      </c>
      <c r="H480" t="s">
        <v>43</v>
      </c>
      <c r="I480">
        <v>15000</v>
      </c>
      <c r="J480" s="4">
        <f t="shared" si="15"/>
        <v>2686.6000000000004</v>
      </c>
    </row>
    <row r="481" spans="1:10" x14ac:dyDescent="0.25">
      <c r="A481" s="1">
        <v>44531</v>
      </c>
      <c r="B481" t="s">
        <v>137</v>
      </c>
      <c r="C481" t="str">
        <f t="shared" si="14"/>
        <v/>
      </c>
      <c r="F481" t="s">
        <v>22</v>
      </c>
      <c r="G481" s="4">
        <v>700.92000000000007</v>
      </c>
      <c r="H481" t="s">
        <v>15</v>
      </c>
      <c r="I481">
        <v>15000</v>
      </c>
      <c r="J481" s="4">
        <f t="shared" si="15"/>
        <v>0</v>
      </c>
    </row>
    <row r="482" spans="1:10" x14ac:dyDescent="0.25">
      <c r="A482" s="1">
        <v>44531</v>
      </c>
      <c r="B482" t="s">
        <v>137</v>
      </c>
      <c r="C482" t="str">
        <f t="shared" si="14"/>
        <v/>
      </c>
      <c r="F482" t="s">
        <v>22</v>
      </c>
      <c r="G482" s="4">
        <v>891.44999999999993</v>
      </c>
      <c r="H482" t="s">
        <v>11</v>
      </c>
      <c r="I482">
        <v>15000</v>
      </c>
      <c r="J482" s="4">
        <f t="shared" si="15"/>
        <v>0</v>
      </c>
    </row>
    <row r="483" spans="1:10" x14ac:dyDescent="0.25">
      <c r="A483" s="1">
        <v>44531</v>
      </c>
      <c r="B483" t="s">
        <v>137</v>
      </c>
      <c r="C483" t="str">
        <f t="shared" si="14"/>
        <v/>
      </c>
      <c r="F483" t="s">
        <v>22</v>
      </c>
      <c r="G483" s="4">
        <v>708.89</v>
      </c>
      <c r="H483" t="s">
        <v>11</v>
      </c>
      <c r="I483">
        <v>15000</v>
      </c>
      <c r="J483" s="4">
        <f t="shared" si="15"/>
        <v>0</v>
      </c>
    </row>
    <row r="484" spans="1:10" x14ac:dyDescent="0.25">
      <c r="A484" s="1">
        <v>44531</v>
      </c>
      <c r="B484" t="s">
        <v>137</v>
      </c>
      <c r="C484" t="str">
        <f t="shared" si="14"/>
        <v/>
      </c>
      <c r="F484" t="s">
        <v>22</v>
      </c>
      <c r="G484" s="4">
        <v>809.55</v>
      </c>
      <c r="H484" t="s">
        <v>11</v>
      </c>
      <c r="I484">
        <v>15000</v>
      </c>
      <c r="J484" s="4">
        <f t="shared" si="15"/>
        <v>0</v>
      </c>
    </row>
    <row r="485" spans="1:10" x14ac:dyDescent="0.25">
      <c r="A485" s="1">
        <v>44531</v>
      </c>
      <c r="B485" t="s">
        <v>65</v>
      </c>
      <c r="C485" t="str">
        <f t="shared" si="14"/>
        <v>Spencer Cruz</v>
      </c>
      <c r="D485" t="s">
        <v>66</v>
      </c>
      <c r="E485" t="s">
        <v>67</v>
      </c>
      <c r="F485" t="s">
        <v>22</v>
      </c>
      <c r="G485" s="4">
        <v>7009.2000000000007</v>
      </c>
      <c r="H485" t="s">
        <v>15</v>
      </c>
      <c r="I485">
        <v>15000</v>
      </c>
      <c r="J485" s="4">
        <f t="shared" si="15"/>
        <v>0</v>
      </c>
    </row>
    <row r="486" spans="1:10" x14ac:dyDescent="0.25">
      <c r="A486" s="1">
        <v>44531</v>
      </c>
      <c r="B486" t="s">
        <v>53</v>
      </c>
      <c r="C486" t="str">
        <f t="shared" si="14"/>
        <v>Josh Sutherland</v>
      </c>
      <c r="D486" t="s">
        <v>54</v>
      </c>
      <c r="E486" t="s">
        <v>55</v>
      </c>
      <c r="F486" t="s">
        <v>22</v>
      </c>
      <c r="G486" s="4">
        <v>7088.9</v>
      </c>
      <c r="H486" t="s">
        <v>11</v>
      </c>
      <c r="I486">
        <v>15000</v>
      </c>
      <c r="J486" s="4">
        <f t="shared" si="15"/>
        <v>0</v>
      </c>
    </row>
    <row r="487" spans="1:10" x14ac:dyDescent="0.25">
      <c r="A487" s="1">
        <v>44531</v>
      </c>
      <c r="B487" t="s">
        <v>65</v>
      </c>
      <c r="C487" t="str">
        <f t="shared" si="14"/>
        <v>Spencer Cruz</v>
      </c>
      <c r="D487" t="s">
        <v>66</v>
      </c>
      <c r="E487" t="s">
        <v>67</v>
      </c>
      <c r="F487" t="s">
        <v>22</v>
      </c>
      <c r="G487" s="4">
        <v>8095.5</v>
      </c>
      <c r="H487" t="s">
        <v>11</v>
      </c>
      <c r="I487">
        <v>15000</v>
      </c>
      <c r="J487" s="4">
        <f t="shared" si="15"/>
        <v>0</v>
      </c>
    </row>
    <row r="488" spans="1:10" x14ac:dyDescent="0.25">
      <c r="A488" s="1">
        <v>44531</v>
      </c>
      <c r="B488" t="s">
        <v>19</v>
      </c>
      <c r="C488" t="str">
        <f t="shared" si="14"/>
        <v>Nina McDonald</v>
      </c>
      <c r="D488" t="s">
        <v>20</v>
      </c>
      <c r="E488" t="s">
        <v>21</v>
      </c>
      <c r="F488" t="s">
        <v>22</v>
      </c>
      <c r="G488" s="4">
        <v>8914.5</v>
      </c>
      <c r="H488" t="s">
        <v>11</v>
      </c>
      <c r="I488">
        <v>15000</v>
      </c>
      <c r="J488" s="4">
        <f t="shared" si="15"/>
        <v>0</v>
      </c>
    </row>
  </sheetData>
  <sortState xmlns:xlrd2="http://schemas.microsoft.com/office/spreadsheetml/2017/richdata2" ref="A2:H390">
    <sortCondition ref="G16:G390"/>
  </sortState>
  <hyperlinks>
    <hyperlink ref="R2" location="'Cover Page'!A1" display="Back to Cover Page" xr:uid="{FBB6E4D9-8D8D-445F-946B-2F2AFD519FF1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FD84-F8E2-4CCA-83D5-D3490E497D21}">
  <dimension ref="A1:P97"/>
  <sheetViews>
    <sheetView zoomScale="85" zoomScaleNormal="85" workbookViewId="0">
      <selection activeCell="L4" sqref="L4"/>
    </sheetView>
  </sheetViews>
  <sheetFormatPr defaultRowHeight="15" x14ac:dyDescent="0.25"/>
  <cols>
    <col min="1" max="1" width="11.5703125" customWidth="1"/>
    <col min="2" max="2" width="16.85546875" customWidth="1"/>
    <col min="3" max="3" width="12" customWidth="1"/>
    <col min="4" max="4" width="12.140625" customWidth="1"/>
    <col min="5" max="5" width="10.42578125" customWidth="1"/>
    <col min="6" max="6" width="15.7109375" customWidth="1"/>
    <col min="7" max="7" width="13.140625" customWidth="1"/>
    <col min="9" max="9" width="13.5703125" customWidth="1"/>
    <col min="11" max="11" width="18.140625" customWidth="1"/>
    <col min="12" max="12" width="11.28515625" bestFit="1" customWidth="1"/>
    <col min="13" max="16" width="11.1406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74</v>
      </c>
      <c r="I1" s="2" t="s">
        <v>75</v>
      </c>
    </row>
    <row r="2" spans="1:16" x14ac:dyDescent="0.25">
      <c r="A2" s="1">
        <v>44197</v>
      </c>
      <c r="B2" t="s">
        <v>30</v>
      </c>
      <c r="C2" t="s">
        <v>31</v>
      </c>
      <c r="D2" t="s">
        <v>32</v>
      </c>
      <c r="E2" t="s">
        <v>33</v>
      </c>
      <c r="F2" s="4">
        <v>13310.4</v>
      </c>
      <c r="G2" t="s">
        <v>11</v>
      </c>
      <c r="H2">
        <v>15000</v>
      </c>
      <c r="I2" s="4">
        <f>IF(F2&gt;=H2,F2*'All Sales'!$L$2,0)</f>
        <v>0</v>
      </c>
    </row>
    <row r="3" spans="1:16" x14ac:dyDescent="0.25">
      <c r="A3" s="1">
        <v>44197</v>
      </c>
      <c r="B3" t="s">
        <v>59</v>
      </c>
      <c r="C3" t="s">
        <v>60</v>
      </c>
      <c r="D3" t="s">
        <v>61</v>
      </c>
      <c r="E3" t="s">
        <v>33</v>
      </c>
      <c r="F3" s="4">
        <v>20366.100000000002</v>
      </c>
      <c r="G3" t="s">
        <v>43</v>
      </c>
      <c r="H3">
        <v>15000</v>
      </c>
      <c r="I3" s="4">
        <f>IF(F3&gt;=H3,F3*'All Sales'!$L$2,0)</f>
        <v>2036.6100000000004</v>
      </c>
      <c r="K3" s="6" t="s">
        <v>77</v>
      </c>
      <c r="L3" s="5" t="str" cm="1">
        <f t="array" ref="L3:P3">TRANSPOSE(_xlfn.UNIQUE(_xlfn._xlws.SORT(C2:C97)))</f>
        <v>Charlotte</v>
      </c>
      <c r="M3" s="5" t="str">
        <v>Chloe</v>
      </c>
      <c r="N3" s="5" t="str">
        <v>David</v>
      </c>
      <c r="O3" s="5" t="str">
        <v>Jonah</v>
      </c>
      <c r="P3" s="5" t="str">
        <v>Sarah</v>
      </c>
    </row>
    <row r="4" spans="1:16" x14ac:dyDescent="0.25">
      <c r="A4" s="1">
        <v>44197</v>
      </c>
      <c r="B4" t="s">
        <v>59</v>
      </c>
      <c r="C4" t="s">
        <v>60</v>
      </c>
      <c r="D4" t="s">
        <v>61</v>
      </c>
      <c r="E4" t="s">
        <v>33</v>
      </c>
      <c r="F4" s="4">
        <v>20880</v>
      </c>
      <c r="G4" t="s">
        <v>11</v>
      </c>
      <c r="H4">
        <v>15000</v>
      </c>
      <c r="I4" s="4">
        <f>IF(F4&gt;=H4,F4*'All Sales'!$L$2,0)</f>
        <v>2088</v>
      </c>
      <c r="K4" s="7" t="s">
        <v>78</v>
      </c>
      <c r="L4" s="8" cm="1">
        <f t="array" ref="L4:P4">SUMIFS($F$2:$F$97,$C$2:$C$97,_xlfn.ANCHORARRAY(L3))</f>
        <v>335128.89999999997</v>
      </c>
      <c r="M4" s="8">
        <v>517004.59999999992</v>
      </c>
      <c r="N4" s="8">
        <v>289580.79999999999</v>
      </c>
      <c r="O4" s="8">
        <v>439469.89999999997</v>
      </c>
      <c r="P4" s="8">
        <v>364649</v>
      </c>
    </row>
    <row r="5" spans="1:16" x14ac:dyDescent="0.25">
      <c r="A5" s="1">
        <v>44197</v>
      </c>
      <c r="B5" t="s">
        <v>30</v>
      </c>
      <c r="C5" t="s">
        <v>31</v>
      </c>
      <c r="D5" t="s">
        <v>32</v>
      </c>
      <c r="E5" t="s">
        <v>33</v>
      </c>
      <c r="F5" s="4">
        <v>23076.199999999997</v>
      </c>
      <c r="G5" t="s">
        <v>11</v>
      </c>
      <c r="H5">
        <v>15000</v>
      </c>
      <c r="I5" s="4">
        <f>IF(F5&gt;=H5,F5*'All Sales'!$L$2,0)</f>
        <v>2307.62</v>
      </c>
    </row>
    <row r="6" spans="1:16" x14ac:dyDescent="0.25">
      <c r="A6" s="1">
        <v>44197</v>
      </c>
      <c r="B6" t="s">
        <v>30</v>
      </c>
      <c r="C6" t="s">
        <v>31</v>
      </c>
      <c r="D6" t="s">
        <v>32</v>
      </c>
      <c r="E6" t="s">
        <v>33</v>
      </c>
      <c r="F6" s="4">
        <v>25560</v>
      </c>
      <c r="G6" t="s">
        <v>11</v>
      </c>
      <c r="H6">
        <v>15000</v>
      </c>
      <c r="I6" s="4">
        <f>IF(F6&gt;=H6,F6*'All Sales'!$L$2,0)</f>
        <v>2556</v>
      </c>
      <c r="P6" s="12" t="s">
        <v>136</v>
      </c>
    </row>
    <row r="7" spans="1:16" x14ac:dyDescent="0.25">
      <c r="A7" s="1">
        <v>44228</v>
      </c>
      <c r="B7" t="s">
        <v>59</v>
      </c>
      <c r="C7" t="s">
        <v>60</v>
      </c>
      <c r="D7" t="s">
        <v>61</v>
      </c>
      <c r="E7" t="s">
        <v>33</v>
      </c>
      <c r="F7" s="4">
        <v>13479.400000000001</v>
      </c>
      <c r="G7" t="s">
        <v>43</v>
      </c>
      <c r="H7">
        <v>15000</v>
      </c>
      <c r="I7" s="4">
        <f>IF(F7&gt;=H7,F7*'All Sales'!$L$2,0)</f>
        <v>0</v>
      </c>
    </row>
    <row r="8" spans="1:16" x14ac:dyDescent="0.25">
      <c r="A8" s="1">
        <v>44228</v>
      </c>
      <c r="B8" t="s">
        <v>30</v>
      </c>
      <c r="C8" t="s">
        <v>31</v>
      </c>
      <c r="D8" t="s">
        <v>32</v>
      </c>
      <c r="E8" t="s">
        <v>33</v>
      </c>
      <c r="F8" s="4">
        <v>16604.400000000001</v>
      </c>
      <c r="G8" t="s">
        <v>15</v>
      </c>
      <c r="H8">
        <v>15000</v>
      </c>
      <c r="I8" s="4">
        <f>IF(F8&gt;=H8,F8*'All Sales'!$L$2,0)</f>
        <v>1660.4400000000003</v>
      </c>
    </row>
    <row r="9" spans="1:16" x14ac:dyDescent="0.25">
      <c r="A9" s="1">
        <v>44228</v>
      </c>
      <c r="B9" t="s">
        <v>71</v>
      </c>
      <c r="C9" t="s">
        <v>72</v>
      </c>
      <c r="D9" t="s">
        <v>73</v>
      </c>
      <c r="E9" t="s">
        <v>33</v>
      </c>
      <c r="F9" s="4">
        <v>22176</v>
      </c>
      <c r="G9" t="s">
        <v>15</v>
      </c>
      <c r="H9">
        <v>15000</v>
      </c>
      <c r="I9" s="4">
        <f>IF(F9&gt;=H9,F9*'All Sales'!$L$2,0)</f>
        <v>2217.6</v>
      </c>
    </row>
    <row r="10" spans="1:16" x14ac:dyDescent="0.25">
      <c r="A10" s="1">
        <v>44228</v>
      </c>
      <c r="B10" t="s">
        <v>59</v>
      </c>
      <c r="C10" t="s">
        <v>60</v>
      </c>
      <c r="D10" t="s">
        <v>61</v>
      </c>
      <c r="E10" t="s">
        <v>33</v>
      </c>
      <c r="F10" s="4">
        <v>24131.000000000004</v>
      </c>
      <c r="G10" t="s">
        <v>15</v>
      </c>
      <c r="H10">
        <v>15000</v>
      </c>
      <c r="I10" s="4">
        <f>IF(F10&gt;=H10,F10*'All Sales'!$L$2,0)</f>
        <v>2413.1000000000004</v>
      </c>
    </row>
    <row r="11" spans="1:16" x14ac:dyDescent="0.25">
      <c r="A11" s="1">
        <v>44228</v>
      </c>
      <c r="B11" t="s">
        <v>30</v>
      </c>
      <c r="C11" t="s">
        <v>31</v>
      </c>
      <c r="D11" t="s">
        <v>32</v>
      </c>
      <c r="E11" t="s">
        <v>33</v>
      </c>
      <c r="F11" s="4">
        <v>34353.5</v>
      </c>
      <c r="G11" t="s">
        <v>15</v>
      </c>
      <c r="H11">
        <v>15000</v>
      </c>
      <c r="I11" s="4">
        <f>IF(F11&gt;=H11,F11*'All Sales'!$L$2,0)</f>
        <v>3435.3500000000004</v>
      </c>
    </row>
    <row r="12" spans="1:16" x14ac:dyDescent="0.25">
      <c r="A12" s="1">
        <v>44256</v>
      </c>
      <c r="B12" t="s">
        <v>62</v>
      </c>
      <c r="C12" t="s">
        <v>63</v>
      </c>
      <c r="D12" t="s">
        <v>64</v>
      </c>
      <c r="E12" t="s">
        <v>33</v>
      </c>
      <c r="F12" s="4">
        <v>7416.9</v>
      </c>
      <c r="G12" t="s">
        <v>43</v>
      </c>
      <c r="H12">
        <v>15000</v>
      </c>
      <c r="I12" s="4">
        <f>IF(F12&gt;=H12,F12*'All Sales'!$L$2,0)</f>
        <v>0</v>
      </c>
    </row>
    <row r="13" spans="1:16" x14ac:dyDescent="0.25">
      <c r="A13" s="1">
        <v>44256</v>
      </c>
      <c r="B13" t="s">
        <v>40</v>
      </c>
      <c r="C13" t="s">
        <v>41</v>
      </c>
      <c r="D13" t="s">
        <v>42</v>
      </c>
      <c r="E13" t="s">
        <v>33</v>
      </c>
      <c r="F13" s="4">
        <v>8284.5</v>
      </c>
      <c r="G13" t="s">
        <v>15</v>
      </c>
      <c r="H13">
        <v>15000</v>
      </c>
      <c r="I13" s="4">
        <f>IF(F13&gt;=H13,F13*'All Sales'!$L$2,0)</f>
        <v>0</v>
      </c>
    </row>
    <row r="14" spans="1:16" x14ac:dyDescent="0.25">
      <c r="A14" s="1">
        <v>44256</v>
      </c>
      <c r="B14" t="s">
        <v>30</v>
      </c>
      <c r="C14" t="s">
        <v>31</v>
      </c>
      <c r="D14" t="s">
        <v>32</v>
      </c>
      <c r="E14" t="s">
        <v>33</v>
      </c>
      <c r="F14" s="4">
        <v>10758.7</v>
      </c>
      <c r="G14" t="s">
        <v>15</v>
      </c>
      <c r="H14">
        <v>15000</v>
      </c>
      <c r="I14" s="4">
        <f>IF(F14&gt;=H14,F14*'All Sales'!$L$2,0)</f>
        <v>0</v>
      </c>
    </row>
    <row r="15" spans="1:16" x14ac:dyDescent="0.25">
      <c r="A15" s="1">
        <v>44256</v>
      </c>
      <c r="B15" t="s">
        <v>59</v>
      </c>
      <c r="C15" t="s">
        <v>60</v>
      </c>
      <c r="D15" t="s">
        <v>61</v>
      </c>
      <c r="E15" t="s">
        <v>33</v>
      </c>
      <c r="F15" s="4">
        <v>12124.2</v>
      </c>
      <c r="G15" t="s">
        <v>43</v>
      </c>
      <c r="H15">
        <v>15000</v>
      </c>
      <c r="I15" s="4">
        <f>IF(F15&gt;=H15,F15*'All Sales'!$L$2,0)</f>
        <v>0</v>
      </c>
    </row>
    <row r="16" spans="1:16" x14ac:dyDescent="0.25">
      <c r="A16" s="1">
        <v>44256</v>
      </c>
      <c r="B16" t="s">
        <v>62</v>
      </c>
      <c r="C16" t="s">
        <v>63</v>
      </c>
      <c r="D16" t="s">
        <v>64</v>
      </c>
      <c r="E16" t="s">
        <v>33</v>
      </c>
      <c r="F16" s="4">
        <v>14391.999999999998</v>
      </c>
      <c r="G16" t="s">
        <v>11</v>
      </c>
      <c r="H16">
        <v>15000</v>
      </c>
      <c r="I16" s="4">
        <f>IF(F16&gt;=H16,F16*'All Sales'!$L$2,0)</f>
        <v>0</v>
      </c>
    </row>
    <row r="17" spans="1:9" x14ac:dyDescent="0.25">
      <c r="A17" s="1">
        <v>44256</v>
      </c>
      <c r="B17" t="s">
        <v>40</v>
      </c>
      <c r="C17" t="s">
        <v>41</v>
      </c>
      <c r="D17" t="s">
        <v>42</v>
      </c>
      <c r="E17" t="s">
        <v>33</v>
      </c>
      <c r="F17" s="4">
        <v>15246</v>
      </c>
      <c r="G17" t="s">
        <v>11</v>
      </c>
      <c r="H17">
        <v>15000</v>
      </c>
      <c r="I17" s="4">
        <f>IF(F17&gt;=H17,F17*'All Sales'!$L$2,0)</f>
        <v>1524.6000000000001</v>
      </c>
    </row>
    <row r="18" spans="1:9" x14ac:dyDescent="0.25">
      <c r="A18" s="1">
        <v>44256</v>
      </c>
      <c r="B18" t="s">
        <v>62</v>
      </c>
      <c r="C18" t="s">
        <v>63</v>
      </c>
      <c r="D18" t="s">
        <v>64</v>
      </c>
      <c r="E18" t="s">
        <v>33</v>
      </c>
      <c r="F18" s="4">
        <v>17335.2</v>
      </c>
      <c r="G18" t="s">
        <v>43</v>
      </c>
      <c r="H18">
        <v>15000</v>
      </c>
      <c r="I18" s="4">
        <f>IF(F18&gt;=H18,F18*'All Sales'!$L$2,0)</f>
        <v>1733.5200000000002</v>
      </c>
    </row>
    <row r="19" spans="1:9" x14ac:dyDescent="0.25">
      <c r="A19" s="1">
        <v>44256</v>
      </c>
      <c r="B19" t="s">
        <v>40</v>
      </c>
      <c r="C19" t="s">
        <v>41</v>
      </c>
      <c r="D19" t="s">
        <v>42</v>
      </c>
      <c r="E19" t="s">
        <v>33</v>
      </c>
      <c r="F19" s="4">
        <v>40831</v>
      </c>
      <c r="G19" t="s">
        <v>11</v>
      </c>
      <c r="H19">
        <v>15000</v>
      </c>
      <c r="I19" s="4">
        <f>IF(F19&gt;=H19,F19*'All Sales'!$L$2,0)</f>
        <v>4083.1000000000004</v>
      </c>
    </row>
    <row r="20" spans="1:9" x14ac:dyDescent="0.25">
      <c r="A20" s="1">
        <v>44287</v>
      </c>
      <c r="B20" t="s">
        <v>30</v>
      </c>
      <c r="C20" t="s">
        <v>31</v>
      </c>
      <c r="D20" t="s">
        <v>32</v>
      </c>
      <c r="E20" t="s">
        <v>33</v>
      </c>
      <c r="F20" s="4">
        <v>8520</v>
      </c>
      <c r="G20" t="s">
        <v>43</v>
      </c>
      <c r="H20">
        <v>15000</v>
      </c>
      <c r="I20" s="4">
        <f>IF(F20&gt;=H20,F20*'All Sales'!$L$2,0)</f>
        <v>0</v>
      </c>
    </row>
    <row r="21" spans="1:9" x14ac:dyDescent="0.25">
      <c r="A21" s="1">
        <v>44287</v>
      </c>
      <c r="B21" t="s">
        <v>62</v>
      </c>
      <c r="C21" t="s">
        <v>63</v>
      </c>
      <c r="D21" t="s">
        <v>64</v>
      </c>
      <c r="E21" t="s">
        <v>33</v>
      </c>
      <c r="F21" s="4">
        <v>14301.599999999999</v>
      </c>
      <c r="G21" t="s">
        <v>43</v>
      </c>
      <c r="H21">
        <v>15000</v>
      </c>
      <c r="I21" s="4">
        <f>IF(F21&gt;=H21,F21*'All Sales'!$L$2,0)</f>
        <v>0</v>
      </c>
    </row>
    <row r="22" spans="1:9" x14ac:dyDescent="0.25">
      <c r="A22" s="1">
        <v>44287</v>
      </c>
      <c r="B22" t="s">
        <v>62</v>
      </c>
      <c r="C22" t="s">
        <v>63</v>
      </c>
      <c r="D22" t="s">
        <v>64</v>
      </c>
      <c r="E22" t="s">
        <v>33</v>
      </c>
      <c r="F22" s="4">
        <v>17204.399999999998</v>
      </c>
      <c r="G22" t="s">
        <v>11</v>
      </c>
      <c r="H22">
        <v>15000</v>
      </c>
      <c r="I22" s="4">
        <f>IF(F22&gt;=H22,F22*'All Sales'!$L$2,0)</f>
        <v>1720.4399999999998</v>
      </c>
    </row>
    <row r="23" spans="1:9" x14ac:dyDescent="0.25">
      <c r="A23" s="1">
        <v>44287</v>
      </c>
      <c r="B23" t="s">
        <v>40</v>
      </c>
      <c r="C23" t="s">
        <v>41</v>
      </c>
      <c r="D23" t="s">
        <v>42</v>
      </c>
      <c r="E23" t="s">
        <v>33</v>
      </c>
      <c r="F23" s="4">
        <v>19080</v>
      </c>
      <c r="G23" t="s">
        <v>15</v>
      </c>
      <c r="H23">
        <v>15000</v>
      </c>
      <c r="I23" s="4">
        <f>IF(F23&gt;=H23,F23*'All Sales'!$L$2,0)</f>
        <v>1908</v>
      </c>
    </row>
    <row r="24" spans="1:9" x14ac:dyDescent="0.25">
      <c r="A24" s="1">
        <v>44287</v>
      </c>
      <c r="B24" t="s">
        <v>30</v>
      </c>
      <c r="C24" t="s">
        <v>31</v>
      </c>
      <c r="D24" t="s">
        <v>32</v>
      </c>
      <c r="E24" t="s">
        <v>33</v>
      </c>
      <c r="F24" s="4">
        <v>19210.400000000001</v>
      </c>
      <c r="G24" t="s">
        <v>11</v>
      </c>
      <c r="H24">
        <v>15000</v>
      </c>
      <c r="I24" s="4">
        <f>IF(F24&gt;=H24,F24*'All Sales'!$L$2,0)</f>
        <v>1921.0400000000002</v>
      </c>
    </row>
    <row r="25" spans="1:9" x14ac:dyDescent="0.25">
      <c r="A25" s="1">
        <v>44287</v>
      </c>
      <c r="B25" t="s">
        <v>30</v>
      </c>
      <c r="C25" t="s">
        <v>31</v>
      </c>
      <c r="D25" t="s">
        <v>32</v>
      </c>
      <c r="E25" t="s">
        <v>33</v>
      </c>
      <c r="F25" s="4">
        <v>32282.799999999996</v>
      </c>
      <c r="G25" t="s">
        <v>15</v>
      </c>
      <c r="H25">
        <v>15000</v>
      </c>
      <c r="I25" s="4">
        <f>IF(F25&gt;=H25,F25*'All Sales'!$L$2,0)</f>
        <v>3228.2799999999997</v>
      </c>
    </row>
    <row r="26" spans="1:9" x14ac:dyDescent="0.25">
      <c r="A26" s="1">
        <v>44287</v>
      </c>
      <c r="B26" t="s">
        <v>71</v>
      </c>
      <c r="C26" t="s">
        <v>72</v>
      </c>
      <c r="D26" t="s">
        <v>73</v>
      </c>
      <c r="E26" t="s">
        <v>33</v>
      </c>
      <c r="F26" s="4">
        <v>32524.1</v>
      </c>
      <c r="G26" t="s">
        <v>11</v>
      </c>
      <c r="H26">
        <v>15000</v>
      </c>
      <c r="I26" s="4">
        <f>IF(F26&gt;=H26,F26*'All Sales'!$L$2,0)</f>
        <v>3252.41</v>
      </c>
    </row>
    <row r="27" spans="1:9" x14ac:dyDescent="0.25">
      <c r="A27" s="1">
        <v>44287</v>
      </c>
      <c r="B27" t="s">
        <v>30</v>
      </c>
      <c r="C27" t="s">
        <v>31</v>
      </c>
      <c r="D27" t="s">
        <v>32</v>
      </c>
      <c r="E27" t="s">
        <v>33</v>
      </c>
      <c r="F27" s="4">
        <v>35153.799999999996</v>
      </c>
      <c r="G27" t="s">
        <v>11</v>
      </c>
      <c r="H27">
        <v>15000</v>
      </c>
      <c r="I27" s="4">
        <f>IF(F27&gt;=H27,F27*'All Sales'!$L$2,0)</f>
        <v>3515.3799999999997</v>
      </c>
    </row>
    <row r="28" spans="1:9" x14ac:dyDescent="0.25">
      <c r="A28" s="1">
        <v>44287</v>
      </c>
      <c r="B28" t="s">
        <v>30</v>
      </c>
      <c r="C28" t="s">
        <v>31</v>
      </c>
      <c r="D28" t="s">
        <v>32</v>
      </c>
      <c r="E28" t="s">
        <v>33</v>
      </c>
      <c r="F28" s="4">
        <v>35820</v>
      </c>
      <c r="G28" t="s">
        <v>43</v>
      </c>
      <c r="H28">
        <v>15000</v>
      </c>
      <c r="I28" s="4">
        <f>IF(F28&gt;=H28,F28*'All Sales'!$L$2,0)</f>
        <v>3582</v>
      </c>
    </row>
    <row r="29" spans="1:9" x14ac:dyDescent="0.25">
      <c r="A29" s="1">
        <v>44287</v>
      </c>
      <c r="B29" t="s">
        <v>59</v>
      </c>
      <c r="C29" t="s">
        <v>60</v>
      </c>
      <c r="D29" t="s">
        <v>61</v>
      </c>
      <c r="E29" t="s">
        <v>33</v>
      </c>
      <c r="F29" s="4">
        <v>42690.400000000001</v>
      </c>
      <c r="G29" t="s">
        <v>43</v>
      </c>
      <c r="H29">
        <v>15000</v>
      </c>
      <c r="I29" s="4">
        <f>IF(F29&gt;=H29,F29*'All Sales'!$L$2,0)</f>
        <v>4269.04</v>
      </c>
    </row>
    <row r="30" spans="1:9" x14ac:dyDescent="0.25">
      <c r="A30" s="1">
        <v>44317</v>
      </c>
      <c r="B30" t="s">
        <v>59</v>
      </c>
      <c r="C30" t="s">
        <v>60</v>
      </c>
      <c r="D30" t="s">
        <v>61</v>
      </c>
      <c r="E30" t="s">
        <v>33</v>
      </c>
      <c r="F30" s="4">
        <v>9270.1</v>
      </c>
      <c r="G30" t="s">
        <v>11</v>
      </c>
      <c r="H30">
        <v>15000</v>
      </c>
      <c r="I30" s="4">
        <f>IF(F30&gt;=H30,F30*'All Sales'!$L$2,0)</f>
        <v>0</v>
      </c>
    </row>
    <row r="31" spans="1:9" x14ac:dyDescent="0.25">
      <c r="A31" s="1">
        <v>44317</v>
      </c>
      <c r="B31" t="s">
        <v>59</v>
      </c>
      <c r="C31" t="s">
        <v>60</v>
      </c>
      <c r="D31" t="s">
        <v>61</v>
      </c>
      <c r="E31" t="s">
        <v>33</v>
      </c>
      <c r="F31" s="4">
        <v>11235</v>
      </c>
      <c r="G31" t="s">
        <v>43</v>
      </c>
      <c r="H31">
        <v>15000</v>
      </c>
      <c r="I31" s="4">
        <f>IF(F31&gt;=H31,F31*'All Sales'!$L$2,0)</f>
        <v>0</v>
      </c>
    </row>
    <row r="32" spans="1:9" x14ac:dyDescent="0.25">
      <c r="A32" s="1">
        <v>44317</v>
      </c>
      <c r="B32" t="s">
        <v>71</v>
      </c>
      <c r="C32" t="s">
        <v>72</v>
      </c>
      <c r="D32" t="s">
        <v>73</v>
      </c>
      <c r="E32" t="s">
        <v>33</v>
      </c>
      <c r="F32" s="4">
        <v>12019.799999999997</v>
      </c>
      <c r="G32" t="s">
        <v>11</v>
      </c>
      <c r="H32">
        <v>15000</v>
      </c>
      <c r="I32" s="4">
        <f>IF(F32&gt;=H32,F32*'All Sales'!$L$2,0)</f>
        <v>0</v>
      </c>
    </row>
    <row r="33" spans="1:9" x14ac:dyDescent="0.25">
      <c r="A33" s="1">
        <v>44317</v>
      </c>
      <c r="B33" t="s">
        <v>30</v>
      </c>
      <c r="C33" t="s">
        <v>31</v>
      </c>
      <c r="D33" t="s">
        <v>32</v>
      </c>
      <c r="E33" t="s">
        <v>33</v>
      </c>
      <c r="F33" s="4">
        <v>27930</v>
      </c>
      <c r="G33" t="s">
        <v>15</v>
      </c>
      <c r="H33">
        <v>15000</v>
      </c>
      <c r="I33" s="4">
        <f>IF(F33&gt;=H33,F33*'All Sales'!$L$2,0)</f>
        <v>2793</v>
      </c>
    </row>
    <row r="34" spans="1:9" x14ac:dyDescent="0.25">
      <c r="A34" s="1">
        <v>44348</v>
      </c>
      <c r="B34" t="s">
        <v>40</v>
      </c>
      <c r="C34" t="s">
        <v>41</v>
      </c>
      <c r="D34" t="s">
        <v>42</v>
      </c>
      <c r="E34" t="s">
        <v>33</v>
      </c>
      <c r="F34" s="4">
        <v>7581.9999999999991</v>
      </c>
      <c r="G34" t="s">
        <v>11</v>
      </c>
      <c r="H34">
        <v>15000</v>
      </c>
      <c r="I34" s="4">
        <f>IF(F34&gt;=H34,F34*'All Sales'!$L$2,0)</f>
        <v>0</v>
      </c>
    </row>
    <row r="35" spans="1:9" x14ac:dyDescent="0.25">
      <c r="A35" s="1">
        <v>44348</v>
      </c>
      <c r="B35" t="s">
        <v>30</v>
      </c>
      <c r="C35" t="s">
        <v>31</v>
      </c>
      <c r="D35" t="s">
        <v>32</v>
      </c>
      <c r="E35" t="s">
        <v>33</v>
      </c>
      <c r="F35" s="4">
        <v>8721.6</v>
      </c>
      <c r="G35" t="s">
        <v>43</v>
      </c>
      <c r="H35">
        <v>15000</v>
      </c>
      <c r="I35" s="4">
        <f>IF(F35&gt;=H35,F35*'All Sales'!$L$2,0)</f>
        <v>0</v>
      </c>
    </row>
    <row r="36" spans="1:9" x14ac:dyDescent="0.25">
      <c r="A36" s="1">
        <v>44348</v>
      </c>
      <c r="B36" t="s">
        <v>40</v>
      </c>
      <c r="C36" t="s">
        <v>41</v>
      </c>
      <c r="D36" t="s">
        <v>42</v>
      </c>
      <c r="E36" t="s">
        <v>33</v>
      </c>
      <c r="F36" s="4">
        <v>10500</v>
      </c>
      <c r="G36" t="s">
        <v>15</v>
      </c>
      <c r="H36">
        <v>15000</v>
      </c>
      <c r="I36" s="4">
        <f>IF(F36&gt;=H36,F36*'All Sales'!$L$2,0)</f>
        <v>0</v>
      </c>
    </row>
    <row r="37" spans="1:9" x14ac:dyDescent="0.25">
      <c r="A37" s="1">
        <v>44348</v>
      </c>
      <c r="B37" t="s">
        <v>59</v>
      </c>
      <c r="C37" t="s">
        <v>60</v>
      </c>
      <c r="D37" t="s">
        <v>61</v>
      </c>
      <c r="E37" t="s">
        <v>33</v>
      </c>
      <c r="F37" s="4">
        <v>13466.999999999998</v>
      </c>
      <c r="G37" t="s">
        <v>43</v>
      </c>
      <c r="H37">
        <v>15000</v>
      </c>
      <c r="I37" s="4">
        <f>IF(F37&gt;=H37,F37*'All Sales'!$L$2,0)</f>
        <v>0</v>
      </c>
    </row>
    <row r="38" spans="1:9" x14ac:dyDescent="0.25">
      <c r="A38" s="1">
        <v>44348</v>
      </c>
      <c r="B38" t="s">
        <v>40</v>
      </c>
      <c r="C38" t="s">
        <v>41</v>
      </c>
      <c r="D38" t="s">
        <v>42</v>
      </c>
      <c r="E38" t="s">
        <v>33</v>
      </c>
      <c r="F38" s="4">
        <v>16036.8</v>
      </c>
      <c r="G38" t="s">
        <v>15</v>
      </c>
      <c r="H38">
        <v>15000</v>
      </c>
      <c r="I38" s="4">
        <f>IF(F38&gt;=H38,F38*'All Sales'!$L$2,0)</f>
        <v>1603.68</v>
      </c>
    </row>
    <row r="39" spans="1:9" x14ac:dyDescent="0.25">
      <c r="A39" s="1">
        <v>44348</v>
      </c>
      <c r="B39" t="s">
        <v>62</v>
      </c>
      <c r="C39" t="s">
        <v>63</v>
      </c>
      <c r="D39" t="s">
        <v>64</v>
      </c>
      <c r="E39" t="s">
        <v>33</v>
      </c>
      <c r="F39" s="4">
        <v>16846.8</v>
      </c>
      <c r="G39" t="s">
        <v>15</v>
      </c>
      <c r="H39">
        <v>15000</v>
      </c>
      <c r="I39" s="4">
        <f>IF(F39&gt;=H39,F39*'All Sales'!$L$2,0)</f>
        <v>1684.68</v>
      </c>
    </row>
    <row r="40" spans="1:9" x14ac:dyDescent="0.25">
      <c r="A40" s="1">
        <v>44378</v>
      </c>
      <c r="B40" t="s">
        <v>59</v>
      </c>
      <c r="C40" t="s">
        <v>60</v>
      </c>
      <c r="D40" t="s">
        <v>61</v>
      </c>
      <c r="E40" t="s">
        <v>33</v>
      </c>
      <c r="F40" s="4">
        <v>15957.2</v>
      </c>
      <c r="G40" t="s">
        <v>43</v>
      </c>
      <c r="H40">
        <v>15000</v>
      </c>
      <c r="I40" s="4">
        <f>IF(F40&gt;=H40,F40*'All Sales'!$L$2,0)</f>
        <v>1595.7200000000003</v>
      </c>
    </row>
    <row r="41" spans="1:9" x14ac:dyDescent="0.25">
      <c r="A41" s="1">
        <v>44378</v>
      </c>
      <c r="B41" t="s">
        <v>71</v>
      </c>
      <c r="C41" t="s">
        <v>72</v>
      </c>
      <c r="D41" t="s">
        <v>73</v>
      </c>
      <c r="E41" t="s">
        <v>33</v>
      </c>
      <c r="F41" s="4">
        <v>16492</v>
      </c>
      <c r="G41" t="s">
        <v>11</v>
      </c>
      <c r="H41">
        <v>15000</v>
      </c>
      <c r="I41" s="4">
        <f>IF(F41&gt;=H41,F41*'All Sales'!$L$2,0)</f>
        <v>1649.2</v>
      </c>
    </row>
    <row r="42" spans="1:9" x14ac:dyDescent="0.25">
      <c r="A42" s="1">
        <v>44378</v>
      </c>
      <c r="B42" t="s">
        <v>62</v>
      </c>
      <c r="C42" t="s">
        <v>63</v>
      </c>
      <c r="D42" t="s">
        <v>64</v>
      </c>
      <c r="E42" t="s">
        <v>33</v>
      </c>
      <c r="F42" s="4">
        <v>21295.4</v>
      </c>
      <c r="G42" t="s">
        <v>11</v>
      </c>
      <c r="H42">
        <v>15000</v>
      </c>
      <c r="I42" s="4">
        <f>IF(F42&gt;=H42,F42*'All Sales'!$L$2,0)</f>
        <v>2129.5400000000004</v>
      </c>
    </row>
    <row r="43" spans="1:9" x14ac:dyDescent="0.25">
      <c r="A43" s="1">
        <v>44378</v>
      </c>
      <c r="B43" t="s">
        <v>30</v>
      </c>
      <c r="C43" t="s">
        <v>31</v>
      </c>
      <c r="D43" t="s">
        <v>32</v>
      </c>
      <c r="E43" t="s">
        <v>33</v>
      </c>
      <c r="F43" s="4">
        <v>25518.800000000003</v>
      </c>
      <c r="G43" t="s">
        <v>11</v>
      </c>
      <c r="H43">
        <v>15000</v>
      </c>
      <c r="I43" s="4">
        <f>IF(F43&gt;=H43,F43*'All Sales'!$L$2,0)</f>
        <v>2551.8800000000006</v>
      </c>
    </row>
    <row r="44" spans="1:9" x14ac:dyDescent="0.25">
      <c r="A44" s="1">
        <v>44378</v>
      </c>
      <c r="B44" t="s">
        <v>30</v>
      </c>
      <c r="C44" t="s">
        <v>31</v>
      </c>
      <c r="D44" t="s">
        <v>32</v>
      </c>
      <c r="E44" t="s">
        <v>33</v>
      </c>
      <c r="F44" s="4">
        <v>27676.6</v>
      </c>
      <c r="G44" t="s">
        <v>15</v>
      </c>
      <c r="H44">
        <v>15000</v>
      </c>
      <c r="I44" s="4">
        <f>IF(F44&gt;=H44,F44*'All Sales'!$L$2,0)</f>
        <v>2767.66</v>
      </c>
    </row>
    <row r="45" spans="1:9" x14ac:dyDescent="0.25">
      <c r="A45" s="1">
        <v>44378</v>
      </c>
      <c r="B45" t="s">
        <v>62</v>
      </c>
      <c r="C45" t="s">
        <v>63</v>
      </c>
      <c r="D45" t="s">
        <v>64</v>
      </c>
      <c r="E45" t="s">
        <v>33</v>
      </c>
      <c r="F45" s="4">
        <v>28395</v>
      </c>
      <c r="G45" t="s">
        <v>43</v>
      </c>
      <c r="H45">
        <v>15000</v>
      </c>
      <c r="I45" s="4">
        <f>IF(F45&gt;=H45,F45*'All Sales'!$L$2,0)</f>
        <v>2839.5</v>
      </c>
    </row>
    <row r="46" spans="1:9" x14ac:dyDescent="0.25">
      <c r="A46" s="1">
        <v>44378</v>
      </c>
      <c r="B46" t="s">
        <v>71</v>
      </c>
      <c r="C46" t="s">
        <v>72</v>
      </c>
      <c r="D46" t="s">
        <v>73</v>
      </c>
      <c r="E46" t="s">
        <v>33</v>
      </c>
      <c r="F46" s="4">
        <v>41826.400000000001</v>
      </c>
      <c r="G46" t="s">
        <v>43</v>
      </c>
      <c r="H46">
        <v>15000</v>
      </c>
      <c r="I46" s="4">
        <f>IF(F46&gt;=H46,F46*'All Sales'!$L$2,0)</f>
        <v>4182.6400000000003</v>
      </c>
    </row>
    <row r="47" spans="1:9" x14ac:dyDescent="0.25">
      <c r="A47" s="1">
        <v>44378</v>
      </c>
      <c r="B47" t="s">
        <v>71</v>
      </c>
      <c r="C47" t="s">
        <v>72</v>
      </c>
      <c r="D47" t="s">
        <v>73</v>
      </c>
      <c r="E47" t="s">
        <v>33</v>
      </c>
      <c r="F47" s="4">
        <v>49055.999999999993</v>
      </c>
      <c r="G47" t="s">
        <v>11</v>
      </c>
      <c r="H47">
        <v>15000</v>
      </c>
      <c r="I47" s="4">
        <f>IF(F47&gt;=H47,F47*'All Sales'!$L$2,0)</f>
        <v>4905.5999999999995</v>
      </c>
    </row>
    <row r="48" spans="1:9" x14ac:dyDescent="0.25">
      <c r="A48" s="1">
        <v>44409</v>
      </c>
      <c r="B48" t="s">
        <v>30</v>
      </c>
      <c r="C48" t="s">
        <v>31</v>
      </c>
      <c r="D48" t="s">
        <v>32</v>
      </c>
      <c r="E48" t="s">
        <v>33</v>
      </c>
      <c r="F48" s="4">
        <v>6201</v>
      </c>
      <c r="G48" t="s">
        <v>43</v>
      </c>
      <c r="H48">
        <v>15000</v>
      </c>
      <c r="I48" s="4">
        <f>IF(F48&gt;=H48,F48*'All Sales'!$L$2,0)</f>
        <v>0</v>
      </c>
    </row>
    <row r="49" spans="1:9" x14ac:dyDescent="0.25">
      <c r="A49" s="1">
        <v>44409</v>
      </c>
      <c r="B49" t="s">
        <v>59</v>
      </c>
      <c r="C49" t="s">
        <v>60</v>
      </c>
      <c r="D49" t="s">
        <v>61</v>
      </c>
      <c r="E49" t="s">
        <v>33</v>
      </c>
      <c r="F49" s="4">
        <v>6311.4</v>
      </c>
      <c r="G49" t="s">
        <v>43</v>
      </c>
      <c r="H49">
        <v>15000</v>
      </c>
      <c r="I49" s="4">
        <f>IF(F49&gt;=H49,F49*'All Sales'!$L$2,0)</f>
        <v>0</v>
      </c>
    </row>
    <row r="50" spans="1:9" x14ac:dyDescent="0.25">
      <c r="A50" s="1">
        <v>44409</v>
      </c>
      <c r="B50" t="s">
        <v>40</v>
      </c>
      <c r="C50" t="s">
        <v>41</v>
      </c>
      <c r="D50" t="s">
        <v>42</v>
      </c>
      <c r="E50" t="s">
        <v>33</v>
      </c>
      <c r="F50" s="4">
        <v>7289.6</v>
      </c>
      <c r="G50" t="s">
        <v>11</v>
      </c>
      <c r="H50">
        <v>15000</v>
      </c>
      <c r="I50" s="4">
        <f>IF(F50&gt;=H50,F50*'All Sales'!$L$2,0)</f>
        <v>0</v>
      </c>
    </row>
    <row r="51" spans="1:9" x14ac:dyDescent="0.25">
      <c r="A51" s="1">
        <v>44409</v>
      </c>
      <c r="B51" t="s">
        <v>40</v>
      </c>
      <c r="C51" t="s">
        <v>41</v>
      </c>
      <c r="D51" t="s">
        <v>42</v>
      </c>
      <c r="E51" t="s">
        <v>33</v>
      </c>
      <c r="F51" s="4">
        <v>8322.4</v>
      </c>
      <c r="G51" t="s">
        <v>11</v>
      </c>
      <c r="H51">
        <v>15000</v>
      </c>
      <c r="I51" s="4">
        <f>IF(F51&gt;=H51,F51*'All Sales'!$L$2,0)</f>
        <v>0</v>
      </c>
    </row>
    <row r="52" spans="1:9" x14ac:dyDescent="0.25">
      <c r="A52" s="1">
        <v>44409</v>
      </c>
      <c r="B52" t="s">
        <v>62</v>
      </c>
      <c r="C52" t="s">
        <v>63</v>
      </c>
      <c r="D52" t="s">
        <v>64</v>
      </c>
      <c r="E52" t="s">
        <v>33</v>
      </c>
      <c r="F52" s="4">
        <v>8501.9000000000015</v>
      </c>
      <c r="G52" t="s">
        <v>15</v>
      </c>
      <c r="H52">
        <v>15000</v>
      </c>
      <c r="I52" s="4">
        <f>IF(F52&gt;=H52,F52*'All Sales'!$L$2,0)</f>
        <v>0</v>
      </c>
    </row>
    <row r="53" spans="1:9" x14ac:dyDescent="0.25">
      <c r="A53" s="1">
        <v>44409</v>
      </c>
      <c r="B53" t="s">
        <v>30</v>
      </c>
      <c r="C53" t="s">
        <v>31</v>
      </c>
      <c r="D53" t="s">
        <v>32</v>
      </c>
      <c r="E53" t="s">
        <v>33</v>
      </c>
      <c r="F53" s="4">
        <v>9708.2999999999993</v>
      </c>
      <c r="G53" t="s">
        <v>15</v>
      </c>
      <c r="H53">
        <v>15000</v>
      </c>
      <c r="I53" s="4">
        <f>IF(F53&gt;=H53,F53*'All Sales'!$L$2,0)</f>
        <v>0</v>
      </c>
    </row>
    <row r="54" spans="1:9" x14ac:dyDescent="0.25">
      <c r="A54" s="1">
        <v>44409</v>
      </c>
      <c r="B54" t="s">
        <v>40</v>
      </c>
      <c r="C54" t="s">
        <v>41</v>
      </c>
      <c r="D54" t="s">
        <v>42</v>
      </c>
      <c r="E54" t="s">
        <v>33</v>
      </c>
      <c r="F54" s="4">
        <v>12944.399999999998</v>
      </c>
      <c r="G54" t="s">
        <v>15</v>
      </c>
      <c r="H54">
        <v>15000</v>
      </c>
      <c r="I54" s="4">
        <f>IF(F54&gt;=H54,F54*'All Sales'!$L$2,0)</f>
        <v>0</v>
      </c>
    </row>
    <row r="55" spans="1:9" x14ac:dyDescent="0.25">
      <c r="A55" s="1">
        <v>44409</v>
      </c>
      <c r="B55" t="s">
        <v>30</v>
      </c>
      <c r="C55" t="s">
        <v>31</v>
      </c>
      <c r="D55" t="s">
        <v>32</v>
      </c>
      <c r="E55" t="s">
        <v>33</v>
      </c>
      <c r="F55" s="4">
        <v>14248</v>
      </c>
      <c r="G55" t="s">
        <v>15</v>
      </c>
      <c r="H55">
        <v>15000</v>
      </c>
      <c r="I55" s="4">
        <f>IF(F55&gt;=H55,F55*'All Sales'!$L$2,0)</f>
        <v>0</v>
      </c>
    </row>
    <row r="56" spans="1:9" x14ac:dyDescent="0.25">
      <c r="A56" s="1">
        <v>44409</v>
      </c>
      <c r="B56" t="s">
        <v>40</v>
      </c>
      <c r="C56" t="s">
        <v>41</v>
      </c>
      <c r="D56" t="s">
        <v>42</v>
      </c>
      <c r="E56" t="s">
        <v>33</v>
      </c>
      <c r="F56" s="4">
        <v>18298.399999999998</v>
      </c>
      <c r="G56" t="s">
        <v>43</v>
      </c>
      <c r="H56">
        <v>15000</v>
      </c>
      <c r="I56" s="4">
        <f>IF(F56&gt;=H56,F56*'All Sales'!$L$2,0)</f>
        <v>1829.84</v>
      </c>
    </row>
    <row r="57" spans="1:9" x14ac:dyDescent="0.25">
      <c r="A57" s="1">
        <v>44409</v>
      </c>
      <c r="B57" t="s">
        <v>40</v>
      </c>
      <c r="C57" t="s">
        <v>41</v>
      </c>
      <c r="D57" t="s">
        <v>42</v>
      </c>
      <c r="E57" t="s">
        <v>33</v>
      </c>
      <c r="F57" s="4">
        <v>18838.399999999998</v>
      </c>
      <c r="G57" t="s">
        <v>43</v>
      </c>
      <c r="H57">
        <v>15000</v>
      </c>
      <c r="I57" s="4">
        <f>IF(F57&gt;=H57,F57*'All Sales'!$L$2,0)</f>
        <v>1883.84</v>
      </c>
    </row>
    <row r="58" spans="1:9" x14ac:dyDescent="0.25">
      <c r="A58" s="1">
        <v>44409</v>
      </c>
      <c r="B58" t="s">
        <v>71</v>
      </c>
      <c r="C58" t="s">
        <v>72</v>
      </c>
      <c r="D58" t="s">
        <v>73</v>
      </c>
      <c r="E58" t="s">
        <v>33</v>
      </c>
      <c r="F58" s="4">
        <v>24469.599999999999</v>
      </c>
      <c r="G58" t="s">
        <v>15</v>
      </c>
      <c r="H58">
        <v>15000</v>
      </c>
      <c r="I58" s="4">
        <f>IF(F58&gt;=H58,F58*'All Sales'!$L$2,0)</f>
        <v>2446.96</v>
      </c>
    </row>
    <row r="59" spans="1:9" x14ac:dyDescent="0.25">
      <c r="A59" s="1">
        <v>44409</v>
      </c>
      <c r="B59" t="s">
        <v>71</v>
      </c>
      <c r="C59" t="s">
        <v>72</v>
      </c>
      <c r="D59" t="s">
        <v>73</v>
      </c>
      <c r="E59" t="s">
        <v>33</v>
      </c>
      <c r="F59" s="4">
        <v>31053.4</v>
      </c>
      <c r="G59" t="s">
        <v>11</v>
      </c>
      <c r="H59">
        <v>15000</v>
      </c>
      <c r="I59" s="4">
        <f>IF(F59&gt;=H59,F59*'All Sales'!$L$2,0)</f>
        <v>3105.34</v>
      </c>
    </row>
    <row r="60" spans="1:9" x14ac:dyDescent="0.25">
      <c r="A60" s="1">
        <v>44440</v>
      </c>
      <c r="B60" t="s">
        <v>40</v>
      </c>
      <c r="C60" t="s">
        <v>41</v>
      </c>
      <c r="D60" t="s">
        <v>42</v>
      </c>
      <c r="E60" t="s">
        <v>33</v>
      </c>
      <c r="F60" s="4">
        <v>3710</v>
      </c>
      <c r="G60" t="s">
        <v>43</v>
      </c>
      <c r="H60">
        <v>15000</v>
      </c>
      <c r="I60" s="4">
        <f>IF(F60&gt;=H60,F60*'All Sales'!$L$2,0)</f>
        <v>0</v>
      </c>
    </row>
    <row r="61" spans="1:9" x14ac:dyDescent="0.25">
      <c r="A61" s="1">
        <v>44440</v>
      </c>
      <c r="B61" t="s">
        <v>62</v>
      </c>
      <c r="C61" t="s">
        <v>63</v>
      </c>
      <c r="D61" t="s">
        <v>64</v>
      </c>
      <c r="E61" t="s">
        <v>33</v>
      </c>
      <c r="F61" s="4">
        <v>6600</v>
      </c>
      <c r="G61" t="s">
        <v>11</v>
      </c>
      <c r="H61">
        <v>15000</v>
      </c>
      <c r="I61" s="4">
        <f>IF(F61&gt;=H61,F61*'All Sales'!$L$2,0)</f>
        <v>0</v>
      </c>
    </row>
    <row r="62" spans="1:9" x14ac:dyDescent="0.25">
      <c r="A62" s="1">
        <v>44440</v>
      </c>
      <c r="B62" t="s">
        <v>71</v>
      </c>
      <c r="C62" t="s">
        <v>72</v>
      </c>
      <c r="D62" t="s">
        <v>73</v>
      </c>
      <c r="E62" t="s">
        <v>33</v>
      </c>
      <c r="F62" s="4">
        <v>8001</v>
      </c>
      <c r="G62" t="s">
        <v>11</v>
      </c>
      <c r="H62">
        <v>15000</v>
      </c>
      <c r="I62" s="4">
        <f>IF(F62&gt;=H62,F62*'All Sales'!$L$2,0)</f>
        <v>0</v>
      </c>
    </row>
    <row r="63" spans="1:9" x14ac:dyDescent="0.25">
      <c r="A63" s="1">
        <v>44440</v>
      </c>
      <c r="B63" t="s">
        <v>40</v>
      </c>
      <c r="C63" t="s">
        <v>41</v>
      </c>
      <c r="D63" t="s">
        <v>42</v>
      </c>
      <c r="E63" t="s">
        <v>33</v>
      </c>
      <c r="F63" s="4">
        <v>8772</v>
      </c>
      <c r="G63" t="s">
        <v>15</v>
      </c>
      <c r="H63">
        <v>15000</v>
      </c>
      <c r="I63" s="4">
        <f>IF(F63&gt;=H63,F63*'All Sales'!$L$2,0)</f>
        <v>0</v>
      </c>
    </row>
    <row r="64" spans="1:9" x14ac:dyDescent="0.25">
      <c r="A64" s="1">
        <v>44440</v>
      </c>
      <c r="B64" t="s">
        <v>40</v>
      </c>
      <c r="C64" t="s">
        <v>41</v>
      </c>
      <c r="D64" t="s">
        <v>42</v>
      </c>
      <c r="E64" t="s">
        <v>33</v>
      </c>
      <c r="F64" s="4">
        <v>14089.199999999999</v>
      </c>
      <c r="G64" t="s">
        <v>15</v>
      </c>
      <c r="H64">
        <v>15000</v>
      </c>
      <c r="I64" s="4">
        <f>IF(F64&gt;=H64,F64*'All Sales'!$L$2,0)</f>
        <v>0</v>
      </c>
    </row>
    <row r="65" spans="1:9" x14ac:dyDescent="0.25">
      <c r="A65" s="1">
        <v>44440</v>
      </c>
      <c r="B65" t="s">
        <v>30</v>
      </c>
      <c r="C65" t="s">
        <v>31</v>
      </c>
      <c r="D65" t="s">
        <v>32</v>
      </c>
      <c r="E65" t="s">
        <v>33</v>
      </c>
      <c r="F65" s="4">
        <v>16702.400000000001</v>
      </c>
      <c r="G65" t="s">
        <v>15</v>
      </c>
      <c r="H65">
        <v>15000</v>
      </c>
      <c r="I65" s="4">
        <f>IF(F65&gt;=H65,F65*'All Sales'!$L$2,0)</f>
        <v>1670.2400000000002</v>
      </c>
    </row>
    <row r="66" spans="1:9" x14ac:dyDescent="0.25">
      <c r="A66" s="1">
        <v>44440</v>
      </c>
      <c r="B66" t="s">
        <v>30</v>
      </c>
      <c r="C66" t="s">
        <v>31</v>
      </c>
      <c r="D66" t="s">
        <v>32</v>
      </c>
      <c r="E66" t="s">
        <v>33</v>
      </c>
      <c r="F66" s="4">
        <v>21216</v>
      </c>
      <c r="G66" t="s">
        <v>15</v>
      </c>
      <c r="H66">
        <v>15000</v>
      </c>
      <c r="I66" s="4">
        <f>IF(F66&gt;=H66,F66*'All Sales'!$L$2,0)</f>
        <v>2121.6</v>
      </c>
    </row>
    <row r="67" spans="1:9" x14ac:dyDescent="0.25">
      <c r="A67" s="1">
        <v>44440</v>
      </c>
      <c r="B67" t="s">
        <v>62</v>
      </c>
      <c r="C67" t="s">
        <v>63</v>
      </c>
      <c r="D67" t="s">
        <v>64</v>
      </c>
      <c r="E67" t="s">
        <v>33</v>
      </c>
      <c r="F67" s="4">
        <v>21546</v>
      </c>
      <c r="G67" t="s">
        <v>11</v>
      </c>
      <c r="H67">
        <v>15000</v>
      </c>
      <c r="I67" s="4">
        <f>IF(F67&gt;=H67,F67*'All Sales'!$L$2,0)</f>
        <v>2154.6</v>
      </c>
    </row>
    <row r="68" spans="1:9" x14ac:dyDescent="0.25">
      <c r="A68" s="1">
        <v>44440</v>
      </c>
      <c r="B68" t="s">
        <v>62</v>
      </c>
      <c r="C68" t="s">
        <v>63</v>
      </c>
      <c r="D68" t="s">
        <v>64</v>
      </c>
      <c r="E68" t="s">
        <v>33</v>
      </c>
      <c r="F68" s="4">
        <v>31186.6</v>
      </c>
      <c r="G68" t="s">
        <v>11</v>
      </c>
      <c r="H68">
        <v>15000</v>
      </c>
      <c r="I68" s="4">
        <f>IF(F68&gt;=H68,F68*'All Sales'!$L$2,0)</f>
        <v>3118.66</v>
      </c>
    </row>
    <row r="69" spans="1:9" x14ac:dyDescent="0.25">
      <c r="A69" s="1">
        <v>44440</v>
      </c>
      <c r="B69" t="s">
        <v>30</v>
      </c>
      <c r="C69" t="s">
        <v>31</v>
      </c>
      <c r="D69" t="s">
        <v>32</v>
      </c>
      <c r="E69" t="s">
        <v>33</v>
      </c>
      <c r="F69" s="4">
        <v>31999.200000000001</v>
      </c>
      <c r="G69" t="s">
        <v>15</v>
      </c>
      <c r="H69">
        <v>15000</v>
      </c>
      <c r="I69" s="4">
        <f>IF(F69&gt;=H69,F69*'All Sales'!$L$2,0)</f>
        <v>3199.92</v>
      </c>
    </row>
    <row r="70" spans="1:9" x14ac:dyDescent="0.25">
      <c r="A70" s="1">
        <v>44440</v>
      </c>
      <c r="B70" t="s">
        <v>62</v>
      </c>
      <c r="C70" t="s">
        <v>63</v>
      </c>
      <c r="D70" t="s">
        <v>64</v>
      </c>
      <c r="E70" t="s">
        <v>33</v>
      </c>
      <c r="F70" s="4">
        <v>37520</v>
      </c>
      <c r="G70" t="s">
        <v>15</v>
      </c>
      <c r="H70">
        <v>15000</v>
      </c>
      <c r="I70" s="4">
        <f>IF(F70&gt;=H70,F70*'All Sales'!$L$2,0)</f>
        <v>3752</v>
      </c>
    </row>
    <row r="71" spans="1:9" x14ac:dyDescent="0.25">
      <c r="A71" s="1">
        <v>44440</v>
      </c>
      <c r="B71" t="s">
        <v>62</v>
      </c>
      <c r="C71" t="s">
        <v>63</v>
      </c>
      <c r="D71" t="s">
        <v>64</v>
      </c>
      <c r="E71" t="s">
        <v>33</v>
      </c>
      <c r="F71" s="4">
        <v>41215.299999999996</v>
      </c>
      <c r="G71" t="s">
        <v>43</v>
      </c>
      <c r="H71">
        <v>15000</v>
      </c>
      <c r="I71" s="4">
        <f>IF(F71&gt;=H71,F71*'All Sales'!$L$2,0)</f>
        <v>4121.53</v>
      </c>
    </row>
    <row r="72" spans="1:9" x14ac:dyDescent="0.25">
      <c r="A72" s="1">
        <v>44470</v>
      </c>
      <c r="B72" t="s">
        <v>30</v>
      </c>
      <c r="C72" t="s">
        <v>31</v>
      </c>
      <c r="D72" t="s">
        <v>32</v>
      </c>
      <c r="E72" t="s">
        <v>33</v>
      </c>
      <c r="F72" s="4">
        <v>3035.1</v>
      </c>
      <c r="G72" t="s">
        <v>15</v>
      </c>
      <c r="H72">
        <v>15000</v>
      </c>
      <c r="I72" s="4">
        <f>IF(F72&gt;=H72,F72*'All Sales'!$L$2,0)</f>
        <v>0</v>
      </c>
    </row>
    <row r="73" spans="1:9" x14ac:dyDescent="0.25">
      <c r="A73" s="1">
        <v>44470</v>
      </c>
      <c r="B73" t="s">
        <v>62</v>
      </c>
      <c r="C73" t="s">
        <v>63</v>
      </c>
      <c r="D73" t="s">
        <v>64</v>
      </c>
      <c r="E73" t="s">
        <v>33</v>
      </c>
      <c r="F73" s="4">
        <v>6688</v>
      </c>
      <c r="G73" t="s">
        <v>15</v>
      </c>
      <c r="H73">
        <v>15000</v>
      </c>
      <c r="I73" s="4">
        <f>IF(F73&gt;=H73,F73*'All Sales'!$L$2,0)</f>
        <v>0</v>
      </c>
    </row>
    <row r="74" spans="1:9" x14ac:dyDescent="0.25">
      <c r="A74" s="1">
        <v>44470</v>
      </c>
      <c r="B74" t="s">
        <v>30</v>
      </c>
      <c r="C74" t="s">
        <v>31</v>
      </c>
      <c r="D74" t="s">
        <v>32</v>
      </c>
      <c r="E74" t="s">
        <v>33</v>
      </c>
      <c r="F74" s="4">
        <v>7024.2</v>
      </c>
      <c r="G74" t="s">
        <v>43</v>
      </c>
      <c r="H74">
        <v>15000</v>
      </c>
      <c r="I74" s="4">
        <f>IF(F74&gt;=H74,F74*'All Sales'!$L$2,0)</f>
        <v>0</v>
      </c>
    </row>
    <row r="75" spans="1:9" x14ac:dyDescent="0.25">
      <c r="A75" s="1">
        <v>44470</v>
      </c>
      <c r="B75" t="s">
        <v>62</v>
      </c>
      <c r="C75" t="s">
        <v>63</v>
      </c>
      <c r="D75" t="s">
        <v>64</v>
      </c>
      <c r="E75" t="s">
        <v>33</v>
      </c>
      <c r="F75" s="4">
        <v>7139.0000000000009</v>
      </c>
      <c r="G75" t="s">
        <v>11</v>
      </c>
      <c r="H75">
        <v>15000</v>
      </c>
      <c r="I75" s="4">
        <f>IF(F75&gt;=H75,F75*'All Sales'!$L$2,0)</f>
        <v>0</v>
      </c>
    </row>
    <row r="76" spans="1:9" x14ac:dyDescent="0.25">
      <c r="A76" s="1">
        <v>44470</v>
      </c>
      <c r="B76" t="s">
        <v>40</v>
      </c>
      <c r="C76" t="s">
        <v>41</v>
      </c>
      <c r="D76" t="s">
        <v>42</v>
      </c>
      <c r="E76" t="s">
        <v>33</v>
      </c>
      <c r="F76" s="4">
        <v>10948</v>
      </c>
      <c r="G76" t="s">
        <v>15</v>
      </c>
      <c r="H76">
        <v>15000</v>
      </c>
      <c r="I76" s="4">
        <f>IF(F76&gt;=H76,F76*'All Sales'!$L$2,0)</f>
        <v>0</v>
      </c>
    </row>
    <row r="77" spans="1:9" x14ac:dyDescent="0.25">
      <c r="A77" s="1">
        <v>44470</v>
      </c>
      <c r="B77" t="s">
        <v>40</v>
      </c>
      <c r="C77" t="s">
        <v>41</v>
      </c>
      <c r="D77" t="s">
        <v>42</v>
      </c>
      <c r="E77" t="s">
        <v>33</v>
      </c>
      <c r="F77" s="4">
        <v>10988.800000000001</v>
      </c>
      <c r="G77" t="s">
        <v>11</v>
      </c>
      <c r="H77">
        <v>15000</v>
      </c>
      <c r="I77" s="4">
        <f>IF(F77&gt;=H77,F77*'All Sales'!$L$2,0)</f>
        <v>0</v>
      </c>
    </row>
    <row r="78" spans="1:9" x14ac:dyDescent="0.25">
      <c r="A78" s="1">
        <v>44470</v>
      </c>
      <c r="B78" t="s">
        <v>40</v>
      </c>
      <c r="C78" t="s">
        <v>41</v>
      </c>
      <c r="D78" t="s">
        <v>42</v>
      </c>
      <c r="E78" t="s">
        <v>33</v>
      </c>
      <c r="F78" s="4">
        <v>12306.6</v>
      </c>
      <c r="G78" t="s">
        <v>15</v>
      </c>
      <c r="H78">
        <v>15000</v>
      </c>
      <c r="I78" s="4">
        <f>IF(F78&gt;=H78,F78*'All Sales'!$L$2,0)</f>
        <v>0</v>
      </c>
    </row>
    <row r="79" spans="1:9" x14ac:dyDescent="0.25">
      <c r="A79" s="1">
        <v>44470</v>
      </c>
      <c r="B79" t="s">
        <v>40</v>
      </c>
      <c r="C79" t="s">
        <v>41</v>
      </c>
      <c r="D79" t="s">
        <v>42</v>
      </c>
      <c r="E79" t="s">
        <v>33</v>
      </c>
      <c r="F79" s="4">
        <v>16077</v>
      </c>
      <c r="G79" t="s">
        <v>15</v>
      </c>
      <c r="H79">
        <v>15000</v>
      </c>
      <c r="I79" s="4">
        <f>IF(F79&gt;=H79,F79*'All Sales'!$L$2,0)</f>
        <v>1607.7</v>
      </c>
    </row>
    <row r="80" spans="1:9" x14ac:dyDescent="0.25">
      <c r="A80" s="1">
        <v>44470</v>
      </c>
      <c r="B80" t="s">
        <v>59</v>
      </c>
      <c r="C80" t="s">
        <v>60</v>
      </c>
      <c r="D80" t="s">
        <v>61</v>
      </c>
      <c r="E80" t="s">
        <v>33</v>
      </c>
      <c r="F80" s="4">
        <v>19594</v>
      </c>
      <c r="G80" t="s">
        <v>15</v>
      </c>
      <c r="H80">
        <v>15000</v>
      </c>
      <c r="I80" s="4">
        <f>IF(F80&gt;=H80,F80*'All Sales'!$L$2,0)</f>
        <v>1959.4</v>
      </c>
    </row>
    <row r="81" spans="1:9" x14ac:dyDescent="0.25">
      <c r="A81" s="1">
        <v>44470</v>
      </c>
      <c r="B81" t="s">
        <v>30</v>
      </c>
      <c r="C81" t="s">
        <v>31</v>
      </c>
      <c r="D81" t="s">
        <v>32</v>
      </c>
      <c r="E81" t="s">
        <v>33</v>
      </c>
      <c r="F81" s="4">
        <v>19946.199999999997</v>
      </c>
      <c r="G81" t="s">
        <v>43</v>
      </c>
      <c r="H81">
        <v>15000</v>
      </c>
      <c r="I81" s="4">
        <f>IF(F81&gt;=H81,F81*'All Sales'!$L$2,0)</f>
        <v>1994.62</v>
      </c>
    </row>
    <row r="82" spans="1:9" x14ac:dyDescent="0.25">
      <c r="A82" s="1">
        <v>44470</v>
      </c>
      <c r="B82" t="s">
        <v>71</v>
      </c>
      <c r="C82" t="s">
        <v>72</v>
      </c>
      <c r="D82" t="s">
        <v>73</v>
      </c>
      <c r="E82" t="s">
        <v>33</v>
      </c>
      <c r="F82" s="4">
        <v>26773.4</v>
      </c>
      <c r="G82" t="s">
        <v>43</v>
      </c>
      <c r="H82">
        <v>15000</v>
      </c>
      <c r="I82" s="4">
        <f>IF(F82&gt;=H82,F82*'All Sales'!$L$2,0)</f>
        <v>2677.34</v>
      </c>
    </row>
    <row r="83" spans="1:9" x14ac:dyDescent="0.25">
      <c r="A83" s="1">
        <v>44470</v>
      </c>
      <c r="B83" t="s">
        <v>40</v>
      </c>
      <c r="C83" t="s">
        <v>41</v>
      </c>
      <c r="D83" t="s">
        <v>42</v>
      </c>
      <c r="E83" t="s">
        <v>33</v>
      </c>
      <c r="F83" s="4">
        <v>28464.9</v>
      </c>
      <c r="G83" t="s">
        <v>43</v>
      </c>
      <c r="H83">
        <v>15000</v>
      </c>
      <c r="I83" s="4">
        <f>IF(F83&gt;=H83,F83*'All Sales'!$L$2,0)</f>
        <v>2846.4900000000002</v>
      </c>
    </row>
    <row r="84" spans="1:9" x14ac:dyDescent="0.25">
      <c r="A84" s="1">
        <v>44470</v>
      </c>
      <c r="B84" t="s">
        <v>62</v>
      </c>
      <c r="C84" t="s">
        <v>63</v>
      </c>
      <c r="D84" t="s">
        <v>64</v>
      </c>
      <c r="E84" t="s">
        <v>33</v>
      </c>
      <c r="F84" s="4">
        <v>37544.800000000003</v>
      </c>
      <c r="G84" t="s">
        <v>11</v>
      </c>
      <c r="H84">
        <v>15000</v>
      </c>
      <c r="I84" s="4">
        <f>IF(F84&gt;=H84,F84*'All Sales'!$L$2,0)</f>
        <v>3754.4800000000005</v>
      </c>
    </row>
    <row r="85" spans="1:9" x14ac:dyDescent="0.25">
      <c r="A85" s="1">
        <v>44470</v>
      </c>
      <c r="B85" t="s">
        <v>40</v>
      </c>
      <c r="C85" t="s">
        <v>41</v>
      </c>
      <c r="D85" t="s">
        <v>42</v>
      </c>
      <c r="E85" t="s">
        <v>33</v>
      </c>
      <c r="F85" s="4">
        <v>40224.800000000003</v>
      </c>
      <c r="G85" t="s">
        <v>11</v>
      </c>
      <c r="H85">
        <v>15000</v>
      </c>
      <c r="I85" s="4">
        <f>IF(F85&gt;=H85,F85*'All Sales'!$L$2,0)</f>
        <v>4022.4800000000005</v>
      </c>
    </row>
    <row r="86" spans="1:9" x14ac:dyDescent="0.25">
      <c r="A86" s="1">
        <v>44470</v>
      </c>
      <c r="B86" t="s">
        <v>59</v>
      </c>
      <c r="C86" t="s">
        <v>60</v>
      </c>
      <c r="D86" t="s">
        <v>61</v>
      </c>
      <c r="E86" t="s">
        <v>33</v>
      </c>
      <c r="F86" s="4">
        <v>43591.8</v>
      </c>
      <c r="G86" t="s">
        <v>11</v>
      </c>
      <c r="H86">
        <v>15000</v>
      </c>
      <c r="I86" s="4">
        <f>IF(F86&gt;=H86,F86*'All Sales'!$L$2,0)</f>
        <v>4359.18</v>
      </c>
    </row>
    <row r="87" spans="1:9" x14ac:dyDescent="0.25">
      <c r="A87" s="1">
        <v>44501</v>
      </c>
      <c r="B87" t="s">
        <v>71</v>
      </c>
      <c r="C87" t="s">
        <v>72</v>
      </c>
      <c r="D87" t="s">
        <v>73</v>
      </c>
      <c r="E87" t="s">
        <v>33</v>
      </c>
      <c r="F87" s="4">
        <v>9292.5</v>
      </c>
      <c r="G87" t="s">
        <v>15</v>
      </c>
      <c r="H87">
        <v>15000</v>
      </c>
      <c r="I87" s="4">
        <f>IF(F87&gt;=H87,F87*'All Sales'!$L$2,0)</f>
        <v>0</v>
      </c>
    </row>
    <row r="88" spans="1:9" x14ac:dyDescent="0.25">
      <c r="A88" s="1">
        <v>44501</v>
      </c>
      <c r="B88" t="s">
        <v>59</v>
      </c>
      <c r="C88" t="s">
        <v>60</v>
      </c>
      <c r="D88" t="s">
        <v>61</v>
      </c>
      <c r="E88" t="s">
        <v>33</v>
      </c>
      <c r="F88" s="4">
        <v>28761.599999999999</v>
      </c>
      <c r="G88" t="s">
        <v>43</v>
      </c>
      <c r="H88">
        <v>15000</v>
      </c>
      <c r="I88" s="4">
        <f>IF(F88&gt;=H88,F88*'All Sales'!$L$2,0)</f>
        <v>2876.16</v>
      </c>
    </row>
    <row r="89" spans="1:9" x14ac:dyDescent="0.25">
      <c r="A89" s="1">
        <v>44501</v>
      </c>
      <c r="B89" t="s">
        <v>40</v>
      </c>
      <c r="C89" t="s">
        <v>41</v>
      </c>
      <c r="D89" t="s">
        <v>42</v>
      </c>
      <c r="E89" t="s">
        <v>33</v>
      </c>
      <c r="F89" s="4">
        <v>41932.799999999996</v>
      </c>
      <c r="G89" t="s">
        <v>11</v>
      </c>
      <c r="H89">
        <v>15000</v>
      </c>
      <c r="I89" s="4">
        <f>IF(F89&gt;=H89,F89*'All Sales'!$L$2,0)</f>
        <v>4193.28</v>
      </c>
    </row>
    <row r="90" spans="1:9" x14ac:dyDescent="0.25">
      <c r="A90" s="1">
        <v>44501</v>
      </c>
      <c r="B90" t="s">
        <v>30</v>
      </c>
      <c r="C90" t="s">
        <v>31</v>
      </c>
      <c r="D90" t="s">
        <v>32</v>
      </c>
      <c r="E90" t="s">
        <v>33</v>
      </c>
      <c r="F90" s="4">
        <v>42427</v>
      </c>
      <c r="G90" t="s">
        <v>15</v>
      </c>
      <c r="H90">
        <v>15000</v>
      </c>
      <c r="I90" s="4">
        <f>IF(F90&gt;=H90,F90*'All Sales'!$L$2,0)</f>
        <v>4242.7</v>
      </c>
    </row>
    <row r="91" spans="1:9" x14ac:dyDescent="0.25">
      <c r="A91" s="1">
        <v>44501</v>
      </c>
      <c r="B91" t="s">
        <v>71</v>
      </c>
      <c r="C91" t="s">
        <v>72</v>
      </c>
      <c r="D91" t="s">
        <v>73</v>
      </c>
      <c r="E91" t="s">
        <v>33</v>
      </c>
      <c r="F91" s="4">
        <v>47510.400000000001</v>
      </c>
      <c r="G91" t="s">
        <v>15</v>
      </c>
      <c r="H91">
        <v>15000</v>
      </c>
      <c r="I91" s="4">
        <f>IF(F91&gt;=H91,F91*'All Sales'!$L$2,0)</f>
        <v>4751.04</v>
      </c>
    </row>
    <row r="92" spans="1:9" x14ac:dyDescent="0.25">
      <c r="A92" s="1">
        <v>44531</v>
      </c>
      <c r="B92" t="s">
        <v>59</v>
      </c>
      <c r="C92" t="s">
        <v>60</v>
      </c>
      <c r="D92" t="s">
        <v>61</v>
      </c>
      <c r="E92" t="s">
        <v>33</v>
      </c>
      <c r="F92" s="4">
        <v>7721.5999999999995</v>
      </c>
      <c r="G92" t="s">
        <v>11</v>
      </c>
      <c r="H92">
        <v>15000</v>
      </c>
      <c r="I92" s="4">
        <f>IF(F92&gt;=H92,F92*'All Sales'!$L$2,0)</f>
        <v>0</v>
      </c>
    </row>
    <row r="93" spans="1:9" x14ac:dyDescent="0.25">
      <c r="A93" s="1">
        <v>44531</v>
      </c>
      <c r="B93" t="s">
        <v>40</v>
      </c>
      <c r="C93" t="s">
        <v>41</v>
      </c>
      <c r="D93" t="s">
        <v>42</v>
      </c>
      <c r="E93" t="s">
        <v>33</v>
      </c>
      <c r="F93" s="4">
        <v>8925.7000000000007</v>
      </c>
      <c r="G93" t="s">
        <v>11</v>
      </c>
      <c r="H93">
        <v>15000</v>
      </c>
      <c r="I93" s="4">
        <f>IF(F93&gt;=H93,F93*'All Sales'!$L$2,0)</f>
        <v>0</v>
      </c>
    </row>
    <row r="94" spans="1:9" x14ac:dyDescent="0.25">
      <c r="A94" s="1">
        <v>44531</v>
      </c>
      <c r="B94" t="s">
        <v>40</v>
      </c>
      <c r="C94" t="s">
        <v>41</v>
      </c>
      <c r="D94" t="s">
        <v>42</v>
      </c>
      <c r="E94" t="s">
        <v>33</v>
      </c>
      <c r="F94" s="4">
        <v>15802.6</v>
      </c>
      <c r="G94" t="s">
        <v>43</v>
      </c>
      <c r="H94">
        <v>15000</v>
      </c>
      <c r="I94" s="4">
        <f>IF(F94&gt;=H94,F94*'All Sales'!$L$2,0)</f>
        <v>1580.2600000000002</v>
      </c>
    </row>
    <row r="95" spans="1:9" x14ac:dyDescent="0.25">
      <c r="A95" s="1">
        <v>44531</v>
      </c>
      <c r="B95" t="s">
        <v>71</v>
      </c>
      <c r="C95" t="s">
        <v>72</v>
      </c>
      <c r="D95" t="s">
        <v>73</v>
      </c>
      <c r="E95" t="s">
        <v>33</v>
      </c>
      <c r="F95" s="4">
        <v>21103.3</v>
      </c>
      <c r="G95" t="s">
        <v>43</v>
      </c>
      <c r="H95">
        <v>15000</v>
      </c>
      <c r="I95" s="4">
        <f>IF(F95&gt;=H95,F95*'All Sales'!$L$2,0)</f>
        <v>2110.33</v>
      </c>
    </row>
    <row r="96" spans="1:9" x14ac:dyDescent="0.25">
      <c r="A96" s="1">
        <v>44531</v>
      </c>
      <c r="B96" t="s">
        <v>71</v>
      </c>
      <c r="C96" t="s">
        <v>72</v>
      </c>
      <c r="D96" t="s">
        <v>73</v>
      </c>
      <c r="E96" t="s">
        <v>33</v>
      </c>
      <c r="F96" s="4">
        <v>22351.100000000002</v>
      </c>
      <c r="G96" t="s">
        <v>43</v>
      </c>
      <c r="H96">
        <v>15000</v>
      </c>
      <c r="I96" s="4">
        <f>IF(F96&gt;=H96,F96*'All Sales'!$L$2,0)</f>
        <v>2235.11</v>
      </c>
    </row>
    <row r="97" spans="1:9" x14ac:dyDescent="0.25">
      <c r="A97" s="1">
        <v>44531</v>
      </c>
      <c r="B97" t="s">
        <v>40</v>
      </c>
      <c r="C97" t="s">
        <v>41</v>
      </c>
      <c r="D97" t="s">
        <v>42</v>
      </c>
      <c r="E97" t="s">
        <v>33</v>
      </c>
      <c r="F97" s="4">
        <v>43974</v>
      </c>
      <c r="G97" t="s">
        <v>11</v>
      </c>
      <c r="H97">
        <v>15000</v>
      </c>
      <c r="I97" s="4">
        <f>IF(F97&gt;=H97,F97*'All Sales'!$L$2,0)</f>
        <v>4397.4000000000005</v>
      </c>
    </row>
  </sheetData>
  <autoFilter ref="A1:I1" xr:uid="{467DFD84-F8E2-4CCA-83D5-D3490E497D21}"/>
  <conditionalFormatting sqref="F2:F97">
    <cfRule type="top10" dxfId="3" priority="1" rank="5"/>
  </conditionalFormatting>
  <hyperlinks>
    <hyperlink ref="P6" location="'Cover Page'!A1" display="Back to Cover Page" xr:uid="{388117C8-E231-4A8D-BF69-595559A7252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ABF4-FC2B-49E0-A8CF-233A05A9F7B0}">
  <dimension ref="A1:P100"/>
  <sheetViews>
    <sheetView zoomScale="85" zoomScaleNormal="85" workbookViewId="0">
      <selection activeCell="D9" sqref="D9"/>
    </sheetView>
  </sheetViews>
  <sheetFormatPr defaultRowHeight="15" x14ac:dyDescent="0.25"/>
  <cols>
    <col min="1" max="1" width="11.5703125" customWidth="1"/>
    <col min="2" max="2" width="16.85546875" customWidth="1"/>
    <col min="3" max="3" width="12" customWidth="1"/>
    <col min="4" max="4" width="12.140625" customWidth="1"/>
    <col min="5" max="5" width="10.42578125" customWidth="1"/>
    <col min="6" max="6" width="15.7109375" customWidth="1"/>
    <col min="7" max="7" width="13.140625" customWidth="1"/>
    <col min="9" max="9" width="13.5703125" customWidth="1"/>
    <col min="11" max="11" width="18.140625" customWidth="1"/>
    <col min="12" max="16" width="11.285156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74</v>
      </c>
      <c r="I1" s="2" t="s">
        <v>75</v>
      </c>
    </row>
    <row r="2" spans="1:16" x14ac:dyDescent="0.25">
      <c r="A2" s="1">
        <v>44197</v>
      </c>
      <c r="B2" t="s">
        <v>23</v>
      </c>
      <c r="C2" t="s">
        <v>24</v>
      </c>
      <c r="D2" t="s">
        <v>25</v>
      </c>
      <c r="E2" t="s">
        <v>26</v>
      </c>
      <c r="F2" s="4">
        <v>3008.3999999999996</v>
      </c>
      <c r="G2" t="s">
        <v>15</v>
      </c>
      <c r="H2">
        <v>15000</v>
      </c>
      <c r="I2" s="4">
        <f>IF(F2&gt;=H2,F2*'All Sales'!$L$2,0)</f>
        <v>0</v>
      </c>
      <c r="K2" s="6" t="s">
        <v>77</v>
      </c>
      <c r="L2" s="5" t="str" cm="1">
        <f t="array" ref="L2:P2">TRANSPOSE(_xlfn.UNIQUE(_xlfn._xlws.SORT(C2:C100)))</f>
        <v>Annabel</v>
      </c>
      <c r="M2" s="5" t="str">
        <v>Cory</v>
      </c>
      <c r="N2" s="5" t="str">
        <v>Emily</v>
      </c>
      <c r="O2" s="5" t="str">
        <v>Jason</v>
      </c>
      <c r="P2" s="5" t="str">
        <v>Olivia</v>
      </c>
    </row>
    <row r="3" spans="1:16" x14ac:dyDescent="0.25">
      <c r="A3" s="1">
        <v>44197</v>
      </c>
      <c r="B3" t="s">
        <v>50</v>
      </c>
      <c r="C3" t="s">
        <v>51</v>
      </c>
      <c r="D3" t="s">
        <v>52</v>
      </c>
      <c r="E3" t="s">
        <v>26</v>
      </c>
      <c r="F3" s="4">
        <v>7221.5999999999995</v>
      </c>
      <c r="G3" t="s">
        <v>43</v>
      </c>
      <c r="H3">
        <v>15000</v>
      </c>
      <c r="I3" s="4">
        <f>IF(F3&gt;=H3,F3*'All Sales'!$L$2,0)</f>
        <v>0</v>
      </c>
      <c r="K3" s="7" t="s">
        <v>78</v>
      </c>
      <c r="L3" s="8">
        <f>SUMIFS($F$2:$F$100,$C$2:$C$100,L2)</f>
        <v>482889</v>
      </c>
      <c r="M3" s="8">
        <f t="shared" ref="M3:P3" si="0">SUMIFS($F$2:$F$100,$C$2:$C$100,M2)</f>
        <v>323152.3</v>
      </c>
      <c r="N3" s="8">
        <f t="shared" si="0"/>
        <v>331096.8</v>
      </c>
      <c r="O3" s="8">
        <f t="shared" si="0"/>
        <v>285253.10000000003</v>
      </c>
      <c r="P3" s="8">
        <f t="shared" si="0"/>
        <v>390105.1</v>
      </c>
    </row>
    <row r="4" spans="1:16" x14ac:dyDescent="0.25">
      <c r="A4" s="1">
        <v>44197</v>
      </c>
      <c r="B4" t="s">
        <v>23</v>
      </c>
      <c r="C4" t="s">
        <v>24</v>
      </c>
      <c r="D4" t="s">
        <v>25</v>
      </c>
      <c r="E4" t="s">
        <v>26</v>
      </c>
      <c r="F4" s="4">
        <v>10903.199999999999</v>
      </c>
      <c r="G4" t="s">
        <v>15</v>
      </c>
      <c r="H4">
        <v>15000</v>
      </c>
      <c r="I4" s="4">
        <f>IF(F4&gt;=H4,F4*'All Sales'!$L$2,0)</f>
        <v>0</v>
      </c>
    </row>
    <row r="5" spans="1:16" x14ac:dyDescent="0.25">
      <c r="A5" s="1">
        <v>44197</v>
      </c>
      <c r="B5" t="s">
        <v>34</v>
      </c>
      <c r="C5" t="s">
        <v>35</v>
      </c>
      <c r="D5" t="s">
        <v>36</v>
      </c>
      <c r="E5" t="s">
        <v>26</v>
      </c>
      <c r="F5" s="4">
        <v>14616</v>
      </c>
      <c r="G5" t="s">
        <v>15</v>
      </c>
      <c r="H5">
        <v>15000</v>
      </c>
      <c r="I5" s="4">
        <f>IF(F5&gt;=H5,F5*'All Sales'!$L$2,0)</f>
        <v>0</v>
      </c>
      <c r="P5" s="12" t="s">
        <v>136</v>
      </c>
    </row>
    <row r="6" spans="1:16" x14ac:dyDescent="0.25">
      <c r="A6" s="1">
        <v>44197</v>
      </c>
      <c r="B6" t="s">
        <v>47</v>
      </c>
      <c r="C6" t="s">
        <v>48</v>
      </c>
      <c r="D6" t="s">
        <v>49</v>
      </c>
      <c r="E6" t="s">
        <v>26</v>
      </c>
      <c r="F6" s="4">
        <v>18885.900000000001</v>
      </c>
      <c r="G6" t="s">
        <v>43</v>
      </c>
      <c r="H6">
        <v>15000</v>
      </c>
      <c r="I6" s="4">
        <f>IF(F6&gt;=H6,F6*'All Sales'!$L$2,0)</f>
        <v>1888.5900000000001</v>
      </c>
    </row>
    <row r="7" spans="1:16" x14ac:dyDescent="0.25">
      <c r="A7" s="1">
        <v>44197</v>
      </c>
      <c r="B7" t="s">
        <v>47</v>
      </c>
      <c r="C7" t="s">
        <v>48</v>
      </c>
      <c r="D7" t="s">
        <v>49</v>
      </c>
      <c r="E7" t="s">
        <v>26</v>
      </c>
      <c r="F7" s="4">
        <v>24236</v>
      </c>
      <c r="G7" t="s">
        <v>11</v>
      </c>
      <c r="H7">
        <v>15000</v>
      </c>
      <c r="I7" s="4">
        <f>IF(F7&gt;=H7,F7*'All Sales'!$L$2,0)</f>
        <v>2423.6</v>
      </c>
    </row>
    <row r="8" spans="1:16" x14ac:dyDescent="0.25">
      <c r="A8" s="1">
        <v>44228</v>
      </c>
      <c r="B8" t="s">
        <v>34</v>
      </c>
      <c r="C8" t="s">
        <v>35</v>
      </c>
      <c r="D8" t="s">
        <v>36</v>
      </c>
      <c r="E8" t="s">
        <v>26</v>
      </c>
      <c r="F8" s="4">
        <v>3596</v>
      </c>
      <c r="G8" t="s">
        <v>15</v>
      </c>
      <c r="H8">
        <v>15000</v>
      </c>
      <c r="I8" s="4">
        <f>IF(F8&gt;=H8,F8*'All Sales'!$L$2,0)</f>
        <v>0</v>
      </c>
    </row>
    <row r="9" spans="1:16" x14ac:dyDescent="0.25">
      <c r="A9" s="1">
        <v>44228</v>
      </c>
      <c r="B9" t="s">
        <v>56</v>
      </c>
      <c r="C9" t="s">
        <v>57</v>
      </c>
      <c r="D9" t="s">
        <v>58</v>
      </c>
      <c r="E9" t="s">
        <v>26</v>
      </c>
      <c r="F9" s="4">
        <v>6300</v>
      </c>
      <c r="G9" t="s">
        <v>43</v>
      </c>
      <c r="H9">
        <v>15000</v>
      </c>
      <c r="I9" s="4">
        <f>IF(F9&gt;=H9,F9*'All Sales'!$L$2,0)</f>
        <v>0</v>
      </c>
    </row>
    <row r="10" spans="1:16" x14ac:dyDescent="0.25">
      <c r="A10" s="1">
        <v>44228</v>
      </c>
      <c r="B10" t="s">
        <v>34</v>
      </c>
      <c r="C10" t="s">
        <v>35</v>
      </c>
      <c r="D10" t="s">
        <v>36</v>
      </c>
      <c r="E10" t="s">
        <v>26</v>
      </c>
      <c r="F10" s="4">
        <v>6804</v>
      </c>
      <c r="G10" t="s">
        <v>11</v>
      </c>
      <c r="H10">
        <v>15000</v>
      </c>
      <c r="I10" s="4">
        <f>IF(F10&gt;=H10,F10*'All Sales'!$L$2,0)</f>
        <v>0</v>
      </c>
    </row>
    <row r="11" spans="1:16" x14ac:dyDescent="0.25">
      <c r="A11" s="1">
        <v>44228</v>
      </c>
      <c r="B11" t="s">
        <v>50</v>
      </c>
      <c r="C11" t="s">
        <v>51</v>
      </c>
      <c r="D11" t="s">
        <v>52</v>
      </c>
      <c r="E11" t="s">
        <v>26</v>
      </c>
      <c r="F11" s="4">
        <v>8524.4000000000015</v>
      </c>
      <c r="G11" t="s">
        <v>43</v>
      </c>
      <c r="H11">
        <v>15000</v>
      </c>
      <c r="I11" s="4">
        <f>IF(F11&gt;=H11,F11*'All Sales'!$L$2,0)</f>
        <v>0</v>
      </c>
    </row>
    <row r="12" spans="1:16" x14ac:dyDescent="0.25">
      <c r="A12" s="1">
        <v>44228</v>
      </c>
      <c r="B12" t="s">
        <v>34</v>
      </c>
      <c r="C12" t="s">
        <v>35</v>
      </c>
      <c r="D12" t="s">
        <v>36</v>
      </c>
      <c r="E12" t="s">
        <v>26</v>
      </c>
      <c r="F12" s="4">
        <v>8772</v>
      </c>
      <c r="G12" t="s">
        <v>43</v>
      </c>
      <c r="H12">
        <v>15000</v>
      </c>
      <c r="I12" s="4">
        <f>IF(F12&gt;=H12,F12*'All Sales'!$L$2,0)</f>
        <v>0</v>
      </c>
    </row>
    <row r="13" spans="1:16" x14ac:dyDescent="0.25">
      <c r="A13" s="1">
        <v>44228</v>
      </c>
      <c r="B13" t="s">
        <v>34</v>
      </c>
      <c r="C13" t="s">
        <v>35</v>
      </c>
      <c r="D13" t="s">
        <v>36</v>
      </c>
      <c r="E13" t="s">
        <v>26</v>
      </c>
      <c r="F13" s="4">
        <v>17328.300000000003</v>
      </c>
      <c r="G13" t="s">
        <v>43</v>
      </c>
      <c r="H13">
        <v>15000</v>
      </c>
      <c r="I13" s="4">
        <f>IF(F13&gt;=H13,F13*'All Sales'!$L$2,0)</f>
        <v>1732.8300000000004</v>
      </c>
    </row>
    <row r="14" spans="1:16" x14ac:dyDescent="0.25">
      <c r="A14" s="1">
        <v>44228</v>
      </c>
      <c r="B14" t="s">
        <v>56</v>
      </c>
      <c r="C14" t="s">
        <v>57</v>
      </c>
      <c r="D14" t="s">
        <v>58</v>
      </c>
      <c r="E14" t="s">
        <v>26</v>
      </c>
      <c r="F14" s="4">
        <v>21438.899999999998</v>
      </c>
      <c r="G14" t="s">
        <v>11</v>
      </c>
      <c r="H14">
        <v>15000</v>
      </c>
      <c r="I14" s="4">
        <f>IF(F14&gt;=H14,F14*'All Sales'!$L$2,0)</f>
        <v>2143.89</v>
      </c>
    </row>
    <row r="15" spans="1:16" x14ac:dyDescent="0.25">
      <c r="A15" s="1">
        <v>44228</v>
      </c>
      <c r="B15" t="s">
        <v>50</v>
      </c>
      <c r="C15" t="s">
        <v>51</v>
      </c>
      <c r="D15" t="s">
        <v>52</v>
      </c>
      <c r="E15" t="s">
        <v>26</v>
      </c>
      <c r="F15" s="4">
        <v>26556.799999999999</v>
      </c>
      <c r="G15" t="s">
        <v>15</v>
      </c>
      <c r="H15">
        <v>15000</v>
      </c>
      <c r="I15" s="4">
        <f>IF(F15&gt;=H15,F15*'All Sales'!$L$2,0)</f>
        <v>2655.6800000000003</v>
      </c>
    </row>
    <row r="16" spans="1:16" x14ac:dyDescent="0.25">
      <c r="A16" s="1">
        <v>44228</v>
      </c>
      <c r="B16" t="s">
        <v>50</v>
      </c>
      <c r="C16" t="s">
        <v>51</v>
      </c>
      <c r="D16" t="s">
        <v>52</v>
      </c>
      <c r="E16" t="s">
        <v>26</v>
      </c>
      <c r="F16" s="4">
        <v>33132.600000000006</v>
      </c>
      <c r="G16" t="s">
        <v>43</v>
      </c>
      <c r="H16">
        <v>15000</v>
      </c>
      <c r="I16" s="4">
        <f>IF(F16&gt;=H16,F16*'All Sales'!$L$2,0)</f>
        <v>3313.2600000000007</v>
      </c>
    </row>
    <row r="17" spans="1:9" x14ac:dyDescent="0.25">
      <c r="A17" s="1">
        <v>44256</v>
      </c>
      <c r="B17" t="s">
        <v>34</v>
      </c>
      <c r="C17" t="s">
        <v>35</v>
      </c>
      <c r="D17" t="s">
        <v>36</v>
      </c>
      <c r="E17" t="s">
        <v>26</v>
      </c>
      <c r="F17" s="4">
        <v>6544.8</v>
      </c>
      <c r="G17" t="s">
        <v>11</v>
      </c>
      <c r="H17">
        <v>15000</v>
      </c>
      <c r="I17" s="4">
        <f>IF(F17&gt;=H17,F17*'All Sales'!$L$2,0)</f>
        <v>0</v>
      </c>
    </row>
    <row r="18" spans="1:9" x14ac:dyDescent="0.25">
      <c r="A18" s="1">
        <v>44256</v>
      </c>
      <c r="B18" t="s">
        <v>50</v>
      </c>
      <c r="C18" t="s">
        <v>51</v>
      </c>
      <c r="D18" t="s">
        <v>52</v>
      </c>
      <c r="E18" t="s">
        <v>26</v>
      </c>
      <c r="F18" s="4">
        <v>11166.300000000001</v>
      </c>
      <c r="G18" t="s">
        <v>15</v>
      </c>
      <c r="H18">
        <v>15000</v>
      </c>
      <c r="I18" s="4">
        <f>IF(F18&gt;=H18,F18*'All Sales'!$L$2,0)</f>
        <v>0</v>
      </c>
    </row>
    <row r="19" spans="1:9" x14ac:dyDescent="0.25">
      <c r="A19" s="1">
        <v>44256</v>
      </c>
      <c r="B19" t="s">
        <v>34</v>
      </c>
      <c r="C19" t="s">
        <v>35</v>
      </c>
      <c r="D19" t="s">
        <v>36</v>
      </c>
      <c r="E19" t="s">
        <v>26</v>
      </c>
      <c r="F19" s="4">
        <v>11403</v>
      </c>
      <c r="G19" t="s">
        <v>15</v>
      </c>
      <c r="H19">
        <v>15000</v>
      </c>
      <c r="I19" s="4">
        <f>IF(F19&gt;=H19,F19*'All Sales'!$L$2,0)</f>
        <v>0</v>
      </c>
    </row>
    <row r="20" spans="1:9" x14ac:dyDescent="0.25">
      <c r="A20" s="1">
        <v>44256</v>
      </c>
      <c r="B20" t="s">
        <v>34</v>
      </c>
      <c r="C20" t="s">
        <v>35</v>
      </c>
      <c r="D20" t="s">
        <v>36</v>
      </c>
      <c r="E20" t="s">
        <v>26</v>
      </c>
      <c r="F20" s="4">
        <v>11554.400000000001</v>
      </c>
      <c r="G20" t="s">
        <v>15</v>
      </c>
      <c r="H20">
        <v>15000</v>
      </c>
      <c r="I20" s="4">
        <f>IF(F20&gt;=H20,F20*'All Sales'!$L$2,0)</f>
        <v>0</v>
      </c>
    </row>
    <row r="21" spans="1:9" x14ac:dyDescent="0.25">
      <c r="A21" s="1">
        <v>44256</v>
      </c>
      <c r="B21" t="s">
        <v>23</v>
      </c>
      <c r="C21" t="s">
        <v>24</v>
      </c>
      <c r="D21" t="s">
        <v>25</v>
      </c>
      <c r="E21" t="s">
        <v>26</v>
      </c>
      <c r="F21" s="4">
        <v>12143.999999999998</v>
      </c>
      <c r="G21" t="s">
        <v>15</v>
      </c>
      <c r="H21">
        <v>15000</v>
      </c>
      <c r="I21" s="4">
        <f>IF(F21&gt;=H21,F21*'All Sales'!$L$2,0)</f>
        <v>0</v>
      </c>
    </row>
    <row r="22" spans="1:9" x14ac:dyDescent="0.25">
      <c r="A22" s="1">
        <v>44256</v>
      </c>
      <c r="B22" t="s">
        <v>23</v>
      </c>
      <c r="C22" t="s">
        <v>24</v>
      </c>
      <c r="D22" t="s">
        <v>25</v>
      </c>
      <c r="E22" t="s">
        <v>26</v>
      </c>
      <c r="F22" s="4">
        <v>13244.7</v>
      </c>
      <c r="G22" t="s">
        <v>11</v>
      </c>
      <c r="H22">
        <v>15000</v>
      </c>
      <c r="I22" s="4">
        <f>IF(F22&gt;=H22,F22*'All Sales'!$L$2,0)</f>
        <v>0</v>
      </c>
    </row>
    <row r="23" spans="1:9" x14ac:dyDescent="0.25">
      <c r="A23" s="1">
        <v>44256</v>
      </c>
      <c r="B23" t="s">
        <v>47</v>
      </c>
      <c r="C23" t="s">
        <v>48</v>
      </c>
      <c r="D23" t="s">
        <v>49</v>
      </c>
      <c r="E23" t="s">
        <v>26</v>
      </c>
      <c r="F23" s="4">
        <v>23014.400000000001</v>
      </c>
      <c r="G23" t="s">
        <v>11</v>
      </c>
      <c r="H23">
        <v>15000</v>
      </c>
      <c r="I23" s="4">
        <f>IF(F23&gt;=H23,F23*'All Sales'!$L$2,0)</f>
        <v>2301.44</v>
      </c>
    </row>
    <row r="24" spans="1:9" x14ac:dyDescent="0.25">
      <c r="A24" s="1">
        <v>44256</v>
      </c>
      <c r="B24" t="s">
        <v>23</v>
      </c>
      <c r="C24" t="s">
        <v>24</v>
      </c>
      <c r="D24" t="s">
        <v>25</v>
      </c>
      <c r="E24" t="s">
        <v>26</v>
      </c>
      <c r="F24" s="4">
        <v>26200</v>
      </c>
      <c r="G24" t="s">
        <v>15</v>
      </c>
      <c r="H24">
        <v>15000</v>
      </c>
      <c r="I24" s="4">
        <f>IF(F24&gt;=H24,F24*'All Sales'!$L$2,0)</f>
        <v>2620</v>
      </c>
    </row>
    <row r="25" spans="1:9" x14ac:dyDescent="0.25">
      <c r="A25" s="1">
        <v>44256</v>
      </c>
      <c r="B25" t="s">
        <v>50</v>
      </c>
      <c r="C25" t="s">
        <v>51</v>
      </c>
      <c r="D25" t="s">
        <v>52</v>
      </c>
      <c r="E25" t="s">
        <v>26</v>
      </c>
      <c r="F25" s="4">
        <v>28286.399999999998</v>
      </c>
      <c r="G25" t="s">
        <v>11</v>
      </c>
      <c r="H25">
        <v>15000</v>
      </c>
      <c r="I25" s="4">
        <f>IF(F25&gt;=H25,F25*'All Sales'!$L$2,0)</f>
        <v>2828.64</v>
      </c>
    </row>
    <row r="26" spans="1:9" x14ac:dyDescent="0.25">
      <c r="A26" s="1">
        <v>44256</v>
      </c>
      <c r="B26" t="s">
        <v>23</v>
      </c>
      <c r="C26" t="s">
        <v>24</v>
      </c>
      <c r="D26" t="s">
        <v>25</v>
      </c>
      <c r="E26" t="s">
        <v>26</v>
      </c>
      <c r="F26" s="4">
        <v>35715.4</v>
      </c>
      <c r="G26" t="s">
        <v>15</v>
      </c>
      <c r="H26">
        <v>15000</v>
      </c>
      <c r="I26" s="4">
        <f>IF(F26&gt;=H26,F26*'All Sales'!$L$2,0)</f>
        <v>3571.5400000000004</v>
      </c>
    </row>
    <row r="27" spans="1:9" x14ac:dyDescent="0.25">
      <c r="A27" s="1">
        <v>44287</v>
      </c>
      <c r="B27" t="s">
        <v>56</v>
      </c>
      <c r="C27" t="s">
        <v>57</v>
      </c>
      <c r="D27" t="s">
        <v>58</v>
      </c>
      <c r="E27" t="s">
        <v>26</v>
      </c>
      <c r="F27" s="4">
        <v>6960</v>
      </c>
      <c r="G27" t="s">
        <v>43</v>
      </c>
      <c r="H27">
        <v>15000</v>
      </c>
      <c r="I27" s="4">
        <f>IF(F27&gt;=H27,F27*'All Sales'!$L$2,0)</f>
        <v>0</v>
      </c>
    </row>
    <row r="28" spans="1:9" x14ac:dyDescent="0.25">
      <c r="A28" s="1">
        <v>44287</v>
      </c>
      <c r="B28" t="s">
        <v>47</v>
      </c>
      <c r="C28" t="s">
        <v>48</v>
      </c>
      <c r="D28" t="s">
        <v>49</v>
      </c>
      <c r="E28" t="s">
        <v>26</v>
      </c>
      <c r="F28" s="4">
        <v>9627.8999999999978</v>
      </c>
      <c r="G28" t="s">
        <v>11</v>
      </c>
      <c r="H28">
        <v>15000</v>
      </c>
      <c r="I28" s="4">
        <f>IF(F28&gt;=H28,F28*'All Sales'!$L$2,0)</f>
        <v>0</v>
      </c>
    </row>
    <row r="29" spans="1:9" x14ac:dyDescent="0.25">
      <c r="A29" s="1">
        <v>44287</v>
      </c>
      <c r="B29" t="s">
        <v>34</v>
      </c>
      <c r="C29" t="s">
        <v>35</v>
      </c>
      <c r="D29" t="s">
        <v>36</v>
      </c>
      <c r="E29" t="s">
        <v>26</v>
      </c>
      <c r="F29" s="4">
        <v>13725.600000000002</v>
      </c>
      <c r="G29" t="s">
        <v>43</v>
      </c>
      <c r="H29">
        <v>15000</v>
      </c>
      <c r="I29" s="4">
        <f>IF(F29&gt;=H29,F29*'All Sales'!$L$2,0)</f>
        <v>0</v>
      </c>
    </row>
    <row r="30" spans="1:9" x14ac:dyDescent="0.25">
      <c r="A30" s="1">
        <v>44287</v>
      </c>
      <c r="B30" t="s">
        <v>47</v>
      </c>
      <c r="C30" t="s">
        <v>48</v>
      </c>
      <c r="D30" t="s">
        <v>49</v>
      </c>
      <c r="E30" t="s">
        <v>26</v>
      </c>
      <c r="F30" s="4">
        <v>15353.2</v>
      </c>
      <c r="G30" t="s">
        <v>11</v>
      </c>
      <c r="H30">
        <v>15000</v>
      </c>
      <c r="I30" s="4">
        <f>IF(F30&gt;=H30,F30*'All Sales'!$L$2,0)</f>
        <v>1535.3200000000002</v>
      </c>
    </row>
    <row r="31" spans="1:9" x14ac:dyDescent="0.25">
      <c r="A31" s="1">
        <v>44287</v>
      </c>
      <c r="B31" t="s">
        <v>23</v>
      </c>
      <c r="C31" t="s">
        <v>24</v>
      </c>
      <c r="D31" t="s">
        <v>25</v>
      </c>
      <c r="E31" t="s">
        <v>26</v>
      </c>
      <c r="F31" s="4">
        <v>18994.5</v>
      </c>
      <c r="G31" t="s">
        <v>15</v>
      </c>
      <c r="H31">
        <v>15000</v>
      </c>
      <c r="I31" s="4">
        <f>IF(F31&gt;=H31,F31*'All Sales'!$L$2,0)</f>
        <v>1899.45</v>
      </c>
    </row>
    <row r="32" spans="1:9" x14ac:dyDescent="0.25">
      <c r="A32" s="1">
        <v>44287</v>
      </c>
      <c r="B32" t="s">
        <v>23</v>
      </c>
      <c r="C32" t="s">
        <v>24</v>
      </c>
      <c r="D32" t="s">
        <v>25</v>
      </c>
      <c r="E32" t="s">
        <v>26</v>
      </c>
      <c r="F32" s="4">
        <v>28628.799999999996</v>
      </c>
      <c r="G32" t="s">
        <v>43</v>
      </c>
      <c r="H32">
        <v>15000</v>
      </c>
      <c r="I32" s="4">
        <f>IF(F32&gt;=H32,F32*'All Sales'!$L$2,0)</f>
        <v>2862.8799999999997</v>
      </c>
    </row>
    <row r="33" spans="1:9" x14ac:dyDescent="0.25">
      <c r="A33" s="1">
        <v>44317</v>
      </c>
      <c r="B33" t="s">
        <v>56</v>
      </c>
      <c r="C33" t="s">
        <v>57</v>
      </c>
      <c r="D33" t="s">
        <v>58</v>
      </c>
      <c r="E33" t="s">
        <v>26</v>
      </c>
      <c r="F33" s="4">
        <v>10948</v>
      </c>
      <c r="G33" t="s">
        <v>11</v>
      </c>
      <c r="H33">
        <v>15000</v>
      </c>
      <c r="I33" s="4">
        <f>IF(F33&gt;=H33,F33*'All Sales'!$L$2,0)</f>
        <v>0</v>
      </c>
    </row>
    <row r="34" spans="1:9" x14ac:dyDescent="0.25">
      <c r="A34" s="1">
        <v>44317</v>
      </c>
      <c r="B34" t="s">
        <v>50</v>
      </c>
      <c r="C34" t="s">
        <v>51</v>
      </c>
      <c r="D34" t="s">
        <v>52</v>
      </c>
      <c r="E34" t="s">
        <v>26</v>
      </c>
      <c r="F34" s="4">
        <v>13044.899999999998</v>
      </c>
      <c r="G34" t="s">
        <v>11</v>
      </c>
      <c r="H34">
        <v>15000</v>
      </c>
      <c r="I34" s="4">
        <f>IF(F34&gt;=H34,F34*'All Sales'!$L$2,0)</f>
        <v>0</v>
      </c>
    </row>
    <row r="35" spans="1:9" x14ac:dyDescent="0.25">
      <c r="A35" s="1">
        <v>44317</v>
      </c>
      <c r="B35" t="s">
        <v>47</v>
      </c>
      <c r="C35" t="s">
        <v>48</v>
      </c>
      <c r="D35" t="s">
        <v>49</v>
      </c>
      <c r="E35" t="s">
        <v>26</v>
      </c>
      <c r="F35" s="4">
        <v>28616</v>
      </c>
      <c r="G35" t="s">
        <v>43</v>
      </c>
      <c r="H35">
        <v>15000</v>
      </c>
      <c r="I35" s="4">
        <f>IF(F35&gt;=H35,F35*'All Sales'!$L$2,0)</f>
        <v>2861.6000000000004</v>
      </c>
    </row>
    <row r="36" spans="1:9" x14ac:dyDescent="0.25">
      <c r="A36" s="1">
        <v>44317</v>
      </c>
      <c r="B36" t="s">
        <v>34</v>
      </c>
      <c r="C36" t="s">
        <v>35</v>
      </c>
      <c r="D36" t="s">
        <v>36</v>
      </c>
      <c r="E36" t="s">
        <v>26</v>
      </c>
      <c r="F36" s="4">
        <v>30377.399999999998</v>
      </c>
      <c r="G36" t="s">
        <v>43</v>
      </c>
      <c r="H36">
        <v>15000</v>
      </c>
      <c r="I36" s="4">
        <f>IF(F36&gt;=H36,F36*'All Sales'!$L$2,0)</f>
        <v>3037.74</v>
      </c>
    </row>
    <row r="37" spans="1:9" x14ac:dyDescent="0.25">
      <c r="A37" s="1">
        <v>44317</v>
      </c>
      <c r="B37" t="s">
        <v>47</v>
      </c>
      <c r="C37" t="s">
        <v>48</v>
      </c>
      <c r="D37" t="s">
        <v>49</v>
      </c>
      <c r="E37" t="s">
        <v>26</v>
      </c>
      <c r="F37" s="4">
        <v>35351</v>
      </c>
      <c r="G37" t="s">
        <v>15</v>
      </c>
      <c r="H37">
        <v>15000</v>
      </c>
      <c r="I37" s="4">
        <f>IF(F37&gt;=H37,F37*'All Sales'!$L$2,0)</f>
        <v>3535.1000000000004</v>
      </c>
    </row>
    <row r="38" spans="1:9" x14ac:dyDescent="0.25">
      <c r="A38" s="1">
        <v>44348</v>
      </c>
      <c r="B38" t="s">
        <v>47</v>
      </c>
      <c r="C38" t="s">
        <v>48</v>
      </c>
      <c r="D38" t="s">
        <v>49</v>
      </c>
      <c r="E38" t="s">
        <v>26</v>
      </c>
      <c r="F38" s="4">
        <v>6872.7999999999993</v>
      </c>
      <c r="G38" t="s">
        <v>11</v>
      </c>
      <c r="H38">
        <v>15000</v>
      </c>
      <c r="I38" s="4">
        <f>IF(F38&gt;=H38,F38*'All Sales'!$L$2,0)</f>
        <v>0</v>
      </c>
    </row>
    <row r="39" spans="1:9" x14ac:dyDescent="0.25">
      <c r="A39" s="1">
        <v>44348</v>
      </c>
      <c r="B39" t="s">
        <v>34</v>
      </c>
      <c r="C39" t="s">
        <v>35</v>
      </c>
      <c r="D39" t="s">
        <v>36</v>
      </c>
      <c r="E39" t="s">
        <v>26</v>
      </c>
      <c r="F39" s="4">
        <v>8827</v>
      </c>
      <c r="G39" t="s">
        <v>43</v>
      </c>
      <c r="H39">
        <v>15000</v>
      </c>
      <c r="I39" s="4">
        <f>IF(F39&gt;=H39,F39*'All Sales'!$L$2,0)</f>
        <v>0</v>
      </c>
    </row>
    <row r="40" spans="1:9" x14ac:dyDescent="0.25">
      <c r="A40" s="1">
        <v>44348</v>
      </c>
      <c r="B40" t="s">
        <v>56</v>
      </c>
      <c r="C40" t="s">
        <v>57</v>
      </c>
      <c r="D40" t="s">
        <v>58</v>
      </c>
      <c r="E40" t="s">
        <v>26</v>
      </c>
      <c r="F40" s="4">
        <v>9836.8000000000011</v>
      </c>
      <c r="G40" t="s">
        <v>11</v>
      </c>
      <c r="H40">
        <v>15000</v>
      </c>
      <c r="I40" s="4">
        <f>IF(F40&gt;=H40,F40*'All Sales'!$L$2,0)</f>
        <v>0</v>
      </c>
    </row>
    <row r="41" spans="1:9" x14ac:dyDescent="0.25">
      <c r="A41" s="1">
        <v>44348</v>
      </c>
      <c r="B41" t="s">
        <v>34</v>
      </c>
      <c r="C41" t="s">
        <v>35</v>
      </c>
      <c r="D41" t="s">
        <v>36</v>
      </c>
      <c r="E41" t="s">
        <v>26</v>
      </c>
      <c r="F41" s="4">
        <v>10032</v>
      </c>
      <c r="G41" t="s">
        <v>11</v>
      </c>
      <c r="H41">
        <v>15000</v>
      </c>
      <c r="I41" s="4">
        <f>IF(F41&gt;=H41,F41*'All Sales'!$L$2,0)</f>
        <v>0</v>
      </c>
    </row>
    <row r="42" spans="1:9" x14ac:dyDescent="0.25">
      <c r="A42" s="1">
        <v>44348</v>
      </c>
      <c r="B42" t="s">
        <v>34</v>
      </c>
      <c r="C42" t="s">
        <v>35</v>
      </c>
      <c r="D42" t="s">
        <v>36</v>
      </c>
      <c r="E42" t="s">
        <v>26</v>
      </c>
      <c r="F42" s="4">
        <v>15953.599999999999</v>
      </c>
      <c r="G42" t="s">
        <v>15</v>
      </c>
      <c r="H42">
        <v>15000</v>
      </c>
      <c r="I42" s="4">
        <f>IF(F42&gt;=H42,F42*'All Sales'!$L$2,0)</f>
        <v>1595.36</v>
      </c>
    </row>
    <row r="43" spans="1:9" x14ac:dyDescent="0.25">
      <c r="A43" s="1">
        <v>44348</v>
      </c>
      <c r="B43" t="s">
        <v>47</v>
      </c>
      <c r="C43" t="s">
        <v>48</v>
      </c>
      <c r="D43" t="s">
        <v>49</v>
      </c>
      <c r="E43" t="s">
        <v>26</v>
      </c>
      <c r="F43" s="4">
        <v>25560</v>
      </c>
      <c r="G43" t="s">
        <v>11</v>
      </c>
      <c r="H43">
        <v>15000</v>
      </c>
      <c r="I43" s="4">
        <f>IF(F43&gt;=H43,F43*'All Sales'!$L$2,0)</f>
        <v>2556</v>
      </c>
    </row>
    <row r="44" spans="1:9" x14ac:dyDescent="0.25">
      <c r="A44" s="1">
        <v>44348</v>
      </c>
      <c r="B44" t="s">
        <v>34</v>
      </c>
      <c r="C44" t="s">
        <v>35</v>
      </c>
      <c r="D44" t="s">
        <v>36</v>
      </c>
      <c r="E44" t="s">
        <v>26</v>
      </c>
      <c r="F44" s="4">
        <v>35695</v>
      </c>
      <c r="G44" t="s">
        <v>15</v>
      </c>
      <c r="H44">
        <v>15000</v>
      </c>
      <c r="I44" s="4">
        <f>IF(F44&gt;=H44,F44*'All Sales'!$L$2,0)</f>
        <v>3569.5</v>
      </c>
    </row>
    <row r="45" spans="1:9" x14ac:dyDescent="0.25">
      <c r="A45" s="1">
        <v>44378</v>
      </c>
      <c r="B45" t="s">
        <v>56</v>
      </c>
      <c r="C45" t="s">
        <v>57</v>
      </c>
      <c r="D45" t="s">
        <v>58</v>
      </c>
      <c r="E45" t="s">
        <v>26</v>
      </c>
      <c r="F45" s="4">
        <v>9405.2999999999993</v>
      </c>
      <c r="G45" t="s">
        <v>15</v>
      </c>
      <c r="H45">
        <v>15000</v>
      </c>
      <c r="I45" s="4">
        <f>IF(F45&gt;=H45,F45*'All Sales'!$L$2,0)</f>
        <v>0</v>
      </c>
    </row>
    <row r="46" spans="1:9" x14ac:dyDescent="0.25">
      <c r="A46" s="1">
        <v>44378</v>
      </c>
      <c r="B46" t="s">
        <v>47</v>
      </c>
      <c r="C46" t="s">
        <v>48</v>
      </c>
      <c r="D46" t="s">
        <v>49</v>
      </c>
      <c r="E46" t="s">
        <v>26</v>
      </c>
      <c r="F46" s="4">
        <v>9704.1999999999989</v>
      </c>
      <c r="G46" t="s">
        <v>43</v>
      </c>
      <c r="H46">
        <v>15000</v>
      </c>
      <c r="I46" s="4">
        <f>IF(F46&gt;=H46,F46*'All Sales'!$L$2,0)</f>
        <v>0</v>
      </c>
    </row>
    <row r="47" spans="1:9" x14ac:dyDescent="0.25">
      <c r="A47" s="1">
        <v>44378</v>
      </c>
      <c r="B47" t="s">
        <v>56</v>
      </c>
      <c r="C47" t="s">
        <v>57</v>
      </c>
      <c r="D47" t="s">
        <v>58</v>
      </c>
      <c r="E47" t="s">
        <v>26</v>
      </c>
      <c r="F47" s="4">
        <v>13674</v>
      </c>
      <c r="G47" t="s">
        <v>15</v>
      </c>
      <c r="H47">
        <v>15000</v>
      </c>
      <c r="I47" s="4">
        <f>IF(F47&gt;=H47,F47*'All Sales'!$L$2,0)</f>
        <v>0</v>
      </c>
    </row>
    <row r="48" spans="1:9" x14ac:dyDescent="0.25">
      <c r="A48" s="1">
        <v>44378</v>
      </c>
      <c r="B48" t="s">
        <v>34</v>
      </c>
      <c r="C48" t="s">
        <v>35</v>
      </c>
      <c r="D48" t="s">
        <v>36</v>
      </c>
      <c r="E48" t="s">
        <v>26</v>
      </c>
      <c r="F48" s="4">
        <v>21120.400000000001</v>
      </c>
      <c r="G48" t="s">
        <v>15</v>
      </c>
      <c r="H48">
        <v>15000</v>
      </c>
      <c r="I48" s="4">
        <f>IF(F48&gt;=H48,F48*'All Sales'!$L$2,0)</f>
        <v>2112.0400000000004</v>
      </c>
    </row>
    <row r="49" spans="1:9" x14ac:dyDescent="0.25">
      <c r="A49" s="1">
        <v>44378</v>
      </c>
      <c r="B49" t="s">
        <v>34</v>
      </c>
      <c r="C49" t="s">
        <v>35</v>
      </c>
      <c r="D49" t="s">
        <v>36</v>
      </c>
      <c r="E49" t="s">
        <v>26</v>
      </c>
      <c r="F49" s="4">
        <v>23997.600000000002</v>
      </c>
      <c r="G49" t="s">
        <v>11</v>
      </c>
      <c r="H49">
        <v>15000</v>
      </c>
      <c r="I49" s="4">
        <f>IF(F49&gt;=H49,F49*'All Sales'!$L$2,0)</f>
        <v>2399.7600000000002</v>
      </c>
    </row>
    <row r="50" spans="1:9" x14ac:dyDescent="0.25">
      <c r="A50" s="1">
        <v>44378</v>
      </c>
      <c r="B50" t="s">
        <v>34</v>
      </c>
      <c r="C50" t="s">
        <v>35</v>
      </c>
      <c r="D50" t="s">
        <v>36</v>
      </c>
      <c r="E50" t="s">
        <v>26</v>
      </c>
      <c r="F50" s="4">
        <v>35715.4</v>
      </c>
      <c r="G50" t="s">
        <v>43</v>
      </c>
      <c r="H50">
        <v>15000</v>
      </c>
      <c r="I50" s="4">
        <f>IF(F50&gt;=H50,F50*'All Sales'!$L$2,0)</f>
        <v>3571.5400000000004</v>
      </c>
    </row>
    <row r="51" spans="1:9" x14ac:dyDescent="0.25">
      <c r="A51" s="1">
        <v>44409</v>
      </c>
      <c r="B51" t="s">
        <v>34</v>
      </c>
      <c r="C51" t="s">
        <v>35</v>
      </c>
      <c r="D51" t="s">
        <v>36</v>
      </c>
      <c r="E51" t="s">
        <v>26</v>
      </c>
      <c r="F51" s="4">
        <v>3386.6000000000004</v>
      </c>
      <c r="G51" t="s">
        <v>15</v>
      </c>
      <c r="H51">
        <v>15000</v>
      </c>
      <c r="I51" s="4">
        <f>IF(F51&gt;=H51,F51*'All Sales'!$L$2,0)</f>
        <v>0</v>
      </c>
    </row>
    <row r="52" spans="1:9" x14ac:dyDescent="0.25">
      <c r="A52" s="1">
        <v>44409</v>
      </c>
      <c r="B52" t="s">
        <v>47</v>
      </c>
      <c r="C52" t="s">
        <v>48</v>
      </c>
      <c r="D52" t="s">
        <v>49</v>
      </c>
      <c r="E52" t="s">
        <v>26</v>
      </c>
      <c r="F52" s="4">
        <v>4028</v>
      </c>
      <c r="G52" t="s">
        <v>11</v>
      </c>
      <c r="H52">
        <v>15000</v>
      </c>
      <c r="I52" s="4">
        <f>IF(F52&gt;=H52,F52*'All Sales'!$L$2,0)</f>
        <v>0</v>
      </c>
    </row>
    <row r="53" spans="1:9" x14ac:dyDescent="0.25">
      <c r="A53" s="1">
        <v>44409</v>
      </c>
      <c r="B53" t="s">
        <v>23</v>
      </c>
      <c r="C53" t="s">
        <v>24</v>
      </c>
      <c r="D53" t="s">
        <v>25</v>
      </c>
      <c r="E53" t="s">
        <v>26</v>
      </c>
      <c r="F53" s="4">
        <v>5532.7999999999993</v>
      </c>
      <c r="G53" t="s">
        <v>15</v>
      </c>
      <c r="H53">
        <v>15000</v>
      </c>
      <c r="I53" s="4">
        <f>IF(F53&gt;=H53,F53*'All Sales'!$L$2,0)</f>
        <v>0</v>
      </c>
    </row>
    <row r="54" spans="1:9" x14ac:dyDescent="0.25">
      <c r="A54" s="1">
        <v>44409</v>
      </c>
      <c r="B54" t="s">
        <v>34</v>
      </c>
      <c r="C54" t="s">
        <v>35</v>
      </c>
      <c r="D54" t="s">
        <v>36</v>
      </c>
      <c r="E54" t="s">
        <v>26</v>
      </c>
      <c r="F54" s="4">
        <v>10200</v>
      </c>
      <c r="G54" t="s">
        <v>43</v>
      </c>
      <c r="H54">
        <v>15000</v>
      </c>
      <c r="I54" s="4">
        <f>IF(F54&gt;=H54,F54*'All Sales'!$L$2,0)</f>
        <v>0</v>
      </c>
    </row>
    <row r="55" spans="1:9" x14ac:dyDescent="0.25">
      <c r="A55" s="1">
        <v>44409</v>
      </c>
      <c r="B55" t="s">
        <v>23</v>
      </c>
      <c r="C55" t="s">
        <v>24</v>
      </c>
      <c r="D55" t="s">
        <v>25</v>
      </c>
      <c r="E55" t="s">
        <v>26</v>
      </c>
      <c r="F55" s="4">
        <v>13923</v>
      </c>
      <c r="G55" t="s">
        <v>43</v>
      </c>
      <c r="H55">
        <v>15000</v>
      </c>
      <c r="I55" s="4">
        <f>IF(F55&gt;=H55,F55*'All Sales'!$L$2,0)</f>
        <v>0</v>
      </c>
    </row>
    <row r="56" spans="1:9" x14ac:dyDescent="0.25">
      <c r="A56" s="1">
        <v>44409</v>
      </c>
      <c r="B56" t="s">
        <v>47</v>
      </c>
      <c r="C56" t="s">
        <v>48</v>
      </c>
      <c r="D56" t="s">
        <v>49</v>
      </c>
      <c r="E56" t="s">
        <v>26</v>
      </c>
      <c r="F56" s="4">
        <v>17593.399999999998</v>
      </c>
      <c r="G56" t="s">
        <v>15</v>
      </c>
      <c r="H56">
        <v>15000</v>
      </c>
      <c r="I56" s="4">
        <f>IF(F56&gt;=H56,F56*'All Sales'!$L$2,0)</f>
        <v>1759.34</v>
      </c>
    </row>
    <row r="57" spans="1:9" x14ac:dyDescent="0.25">
      <c r="A57" s="1">
        <v>44409</v>
      </c>
      <c r="B57" t="s">
        <v>56</v>
      </c>
      <c r="C57" t="s">
        <v>57</v>
      </c>
      <c r="D57" t="s">
        <v>58</v>
      </c>
      <c r="E57" t="s">
        <v>26</v>
      </c>
      <c r="F57" s="4">
        <v>17666</v>
      </c>
      <c r="G57" t="s">
        <v>11</v>
      </c>
      <c r="H57">
        <v>15000</v>
      </c>
      <c r="I57" s="4">
        <f>IF(F57&gt;=H57,F57*'All Sales'!$L$2,0)</f>
        <v>1766.6000000000001</v>
      </c>
    </row>
    <row r="58" spans="1:9" x14ac:dyDescent="0.25">
      <c r="A58" s="1">
        <v>44409</v>
      </c>
      <c r="B58" t="s">
        <v>34</v>
      </c>
      <c r="C58" t="s">
        <v>35</v>
      </c>
      <c r="D58" t="s">
        <v>36</v>
      </c>
      <c r="E58" t="s">
        <v>26</v>
      </c>
      <c r="F58" s="4">
        <v>21420</v>
      </c>
      <c r="G58" t="s">
        <v>43</v>
      </c>
      <c r="H58">
        <v>15000</v>
      </c>
      <c r="I58" s="4">
        <f>IF(F58&gt;=H58,F58*'All Sales'!$L$2,0)</f>
        <v>2142</v>
      </c>
    </row>
    <row r="59" spans="1:9" x14ac:dyDescent="0.25">
      <c r="A59" s="1">
        <v>44409</v>
      </c>
      <c r="B59" t="s">
        <v>23</v>
      </c>
      <c r="C59" t="s">
        <v>24</v>
      </c>
      <c r="D59" t="s">
        <v>25</v>
      </c>
      <c r="E59" t="s">
        <v>26</v>
      </c>
      <c r="F59" s="4">
        <v>24080</v>
      </c>
      <c r="G59" t="s">
        <v>11</v>
      </c>
      <c r="H59">
        <v>15000</v>
      </c>
      <c r="I59" s="4">
        <f>IF(F59&gt;=H59,F59*'All Sales'!$L$2,0)</f>
        <v>2408</v>
      </c>
    </row>
    <row r="60" spans="1:9" x14ac:dyDescent="0.25">
      <c r="A60" s="1">
        <v>44409</v>
      </c>
      <c r="B60" t="s">
        <v>47</v>
      </c>
      <c r="C60" t="s">
        <v>48</v>
      </c>
      <c r="D60" t="s">
        <v>49</v>
      </c>
      <c r="E60" t="s">
        <v>26</v>
      </c>
      <c r="F60" s="4">
        <v>27531</v>
      </c>
      <c r="G60" t="s">
        <v>43</v>
      </c>
      <c r="H60">
        <v>15000</v>
      </c>
      <c r="I60" s="4">
        <f>IF(F60&gt;=H60,F60*'All Sales'!$L$2,0)</f>
        <v>2753.1000000000004</v>
      </c>
    </row>
    <row r="61" spans="1:9" x14ac:dyDescent="0.25">
      <c r="A61" s="1">
        <v>44409</v>
      </c>
      <c r="B61" t="s">
        <v>56</v>
      </c>
      <c r="C61" t="s">
        <v>57</v>
      </c>
      <c r="D61" t="s">
        <v>58</v>
      </c>
      <c r="E61" t="s">
        <v>26</v>
      </c>
      <c r="F61" s="4">
        <v>32795.700000000004</v>
      </c>
      <c r="G61" t="s">
        <v>15</v>
      </c>
      <c r="H61">
        <v>15000</v>
      </c>
      <c r="I61" s="4">
        <f>IF(F61&gt;=H61,F61*'All Sales'!$L$2,0)</f>
        <v>3279.5700000000006</v>
      </c>
    </row>
    <row r="62" spans="1:9" x14ac:dyDescent="0.25">
      <c r="A62" s="1">
        <v>44440</v>
      </c>
      <c r="B62" t="s">
        <v>47</v>
      </c>
      <c r="C62" t="s">
        <v>48</v>
      </c>
      <c r="D62" t="s">
        <v>49</v>
      </c>
      <c r="E62" t="s">
        <v>26</v>
      </c>
      <c r="F62" s="4">
        <v>7008</v>
      </c>
      <c r="G62" t="s">
        <v>43</v>
      </c>
      <c r="H62">
        <v>15000</v>
      </c>
      <c r="I62" s="4">
        <f>IF(F62&gt;=H62,F62*'All Sales'!$L$2,0)</f>
        <v>0</v>
      </c>
    </row>
    <row r="63" spans="1:9" x14ac:dyDescent="0.25">
      <c r="A63" s="1">
        <v>44440</v>
      </c>
      <c r="B63" t="s">
        <v>23</v>
      </c>
      <c r="C63" t="s">
        <v>24</v>
      </c>
      <c r="D63" t="s">
        <v>25</v>
      </c>
      <c r="E63" t="s">
        <v>26</v>
      </c>
      <c r="F63" s="4">
        <v>8099.6999999999989</v>
      </c>
      <c r="G63" t="s">
        <v>11</v>
      </c>
      <c r="H63">
        <v>15000</v>
      </c>
      <c r="I63" s="4">
        <f>IF(F63&gt;=H63,F63*'All Sales'!$L$2,0)</f>
        <v>0</v>
      </c>
    </row>
    <row r="64" spans="1:9" x14ac:dyDescent="0.25">
      <c r="A64" s="1">
        <v>44440</v>
      </c>
      <c r="B64" t="s">
        <v>34</v>
      </c>
      <c r="C64" t="s">
        <v>35</v>
      </c>
      <c r="D64" t="s">
        <v>36</v>
      </c>
      <c r="E64" t="s">
        <v>26</v>
      </c>
      <c r="F64" s="4">
        <v>9840</v>
      </c>
      <c r="G64" t="s">
        <v>15</v>
      </c>
      <c r="H64">
        <v>15000</v>
      </c>
      <c r="I64" s="4">
        <f>IF(F64&gt;=H64,F64*'All Sales'!$L$2,0)</f>
        <v>0</v>
      </c>
    </row>
    <row r="65" spans="1:9" x14ac:dyDescent="0.25">
      <c r="A65" s="1">
        <v>44440</v>
      </c>
      <c r="B65" t="s">
        <v>50</v>
      </c>
      <c r="C65" t="s">
        <v>51</v>
      </c>
      <c r="D65" t="s">
        <v>52</v>
      </c>
      <c r="E65" t="s">
        <v>26</v>
      </c>
      <c r="F65" s="4">
        <v>10218</v>
      </c>
      <c r="G65" t="s">
        <v>15</v>
      </c>
      <c r="H65">
        <v>15000</v>
      </c>
      <c r="I65" s="4">
        <f>IF(F65&gt;=H65,F65*'All Sales'!$L$2,0)</f>
        <v>0</v>
      </c>
    </row>
    <row r="66" spans="1:9" x14ac:dyDescent="0.25">
      <c r="A66" s="1">
        <v>44440</v>
      </c>
      <c r="B66" t="s">
        <v>34</v>
      </c>
      <c r="C66" t="s">
        <v>35</v>
      </c>
      <c r="D66" t="s">
        <v>36</v>
      </c>
      <c r="E66" t="s">
        <v>26</v>
      </c>
      <c r="F66" s="4">
        <v>14311.2</v>
      </c>
      <c r="G66" t="s">
        <v>11</v>
      </c>
      <c r="H66">
        <v>15000</v>
      </c>
      <c r="I66" s="4">
        <f>IF(F66&gt;=H66,F66*'All Sales'!$L$2,0)</f>
        <v>0</v>
      </c>
    </row>
    <row r="67" spans="1:9" x14ac:dyDescent="0.25">
      <c r="A67" s="1">
        <v>44440</v>
      </c>
      <c r="B67" t="s">
        <v>34</v>
      </c>
      <c r="C67" t="s">
        <v>35</v>
      </c>
      <c r="D67" t="s">
        <v>36</v>
      </c>
      <c r="E67" t="s">
        <v>26</v>
      </c>
      <c r="F67" s="4">
        <v>14715.2</v>
      </c>
      <c r="G67" t="s">
        <v>15</v>
      </c>
      <c r="H67">
        <v>15000</v>
      </c>
      <c r="I67" s="4">
        <f>IF(F67&gt;=H67,F67*'All Sales'!$L$2,0)</f>
        <v>0</v>
      </c>
    </row>
    <row r="68" spans="1:9" x14ac:dyDescent="0.25">
      <c r="A68" s="1">
        <v>44440</v>
      </c>
      <c r="B68" t="s">
        <v>56</v>
      </c>
      <c r="C68" t="s">
        <v>57</v>
      </c>
      <c r="D68" t="s">
        <v>58</v>
      </c>
      <c r="E68" t="s">
        <v>26</v>
      </c>
      <c r="F68" s="4">
        <v>19147.8</v>
      </c>
      <c r="G68" t="s">
        <v>15</v>
      </c>
      <c r="H68">
        <v>15000</v>
      </c>
      <c r="I68" s="4">
        <f>IF(F68&gt;=H68,F68*'All Sales'!$L$2,0)</f>
        <v>1914.78</v>
      </c>
    </row>
    <row r="69" spans="1:9" x14ac:dyDescent="0.25">
      <c r="A69" s="1">
        <v>44440</v>
      </c>
      <c r="B69" t="s">
        <v>34</v>
      </c>
      <c r="C69" t="s">
        <v>35</v>
      </c>
      <c r="D69" t="s">
        <v>36</v>
      </c>
      <c r="E69" t="s">
        <v>26</v>
      </c>
      <c r="F69" s="4">
        <v>20760.300000000003</v>
      </c>
      <c r="G69" t="s">
        <v>15</v>
      </c>
      <c r="H69">
        <v>15000</v>
      </c>
      <c r="I69" s="4">
        <f>IF(F69&gt;=H69,F69*'All Sales'!$L$2,0)</f>
        <v>2076.0300000000002</v>
      </c>
    </row>
    <row r="70" spans="1:9" x14ac:dyDescent="0.25">
      <c r="A70" s="1">
        <v>44440</v>
      </c>
      <c r="B70" t="s">
        <v>56</v>
      </c>
      <c r="C70" t="s">
        <v>57</v>
      </c>
      <c r="D70" t="s">
        <v>58</v>
      </c>
      <c r="E70" t="s">
        <v>26</v>
      </c>
      <c r="F70" s="4">
        <v>24579.8</v>
      </c>
      <c r="G70" t="s">
        <v>11</v>
      </c>
      <c r="H70">
        <v>15000</v>
      </c>
      <c r="I70" s="4">
        <f>IF(F70&gt;=H70,F70*'All Sales'!$L$2,0)</f>
        <v>2457.98</v>
      </c>
    </row>
    <row r="71" spans="1:9" x14ac:dyDescent="0.25">
      <c r="A71" s="1">
        <v>44440</v>
      </c>
      <c r="B71" t="s">
        <v>56</v>
      </c>
      <c r="C71" t="s">
        <v>57</v>
      </c>
      <c r="D71" t="s">
        <v>58</v>
      </c>
      <c r="E71" t="s">
        <v>26</v>
      </c>
      <c r="F71" s="4">
        <v>25946.300000000003</v>
      </c>
      <c r="G71" t="s">
        <v>43</v>
      </c>
      <c r="H71">
        <v>15000</v>
      </c>
      <c r="I71" s="4">
        <f>IF(F71&gt;=H71,F71*'All Sales'!$L$2,0)</f>
        <v>2594.6300000000006</v>
      </c>
    </row>
    <row r="72" spans="1:9" x14ac:dyDescent="0.25">
      <c r="A72" s="1">
        <v>44440</v>
      </c>
      <c r="B72" t="s">
        <v>23</v>
      </c>
      <c r="C72" t="s">
        <v>24</v>
      </c>
      <c r="D72" t="s">
        <v>25</v>
      </c>
      <c r="E72" t="s">
        <v>26</v>
      </c>
      <c r="F72" s="4">
        <v>30367.999999999996</v>
      </c>
      <c r="G72" t="s">
        <v>15</v>
      </c>
      <c r="H72">
        <v>15000</v>
      </c>
      <c r="I72" s="4">
        <f>IF(F72&gt;=H72,F72*'All Sales'!$L$2,0)</f>
        <v>3036.7999999999997</v>
      </c>
    </row>
    <row r="73" spans="1:9" x14ac:dyDescent="0.25">
      <c r="A73" s="1">
        <v>44440</v>
      </c>
      <c r="B73" t="s">
        <v>47</v>
      </c>
      <c r="C73" t="s">
        <v>48</v>
      </c>
      <c r="D73" t="s">
        <v>49</v>
      </c>
      <c r="E73" t="s">
        <v>26</v>
      </c>
      <c r="F73" s="4">
        <v>35640</v>
      </c>
      <c r="G73" t="s">
        <v>11</v>
      </c>
      <c r="H73">
        <v>15000</v>
      </c>
      <c r="I73" s="4">
        <f>IF(F73&gt;=H73,F73*'All Sales'!$L$2,0)</f>
        <v>3564</v>
      </c>
    </row>
    <row r="74" spans="1:9" x14ac:dyDescent="0.25">
      <c r="A74" s="1">
        <v>44470</v>
      </c>
      <c r="B74" t="s">
        <v>50</v>
      </c>
      <c r="C74" t="s">
        <v>51</v>
      </c>
      <c r="D74" t="s">
        <v>52</v>
      </c>
      <c r="E74" t="s">
        <v>26</v>
      </c>
      <c r="F74" s="4">
        <v>4201.6000000000004</v>
      </c>
      <c r="G74" t="s">
        <v>15</v>
      </c>
      <c r="H74">
        <v>15000</v>
      </c>
      <c r="I74" s="4">
        <f>IF(F74&gt;=H74,F74*'All Sales'!$L$2,0)</f>
        <v>0</v>
      </c>
    </row>
    <row r="75" spans="1:9" x14ac:dyDescent="0.25">
      <c r="A75" s="1">
        <v>44470</v>
      </c>
      <c r="B75" t="s">
        <v>23</v>
      </c>
      <c r="C75" t="s">
        <v>24</v>
      </c>
      <c r="D75" t="s">
        <v>25</v>
      </c>
      <c r="E75" t="s">
        <v>26</v>
      </c>
      <c r="F75" s="4">
        <v>15262.8</v>
      </c>
      <c r="G75" t="s">
        <v>43</v>
      </c>
      <c r="H75">
        <v>15000</v>
      </c>
      <c r="I75" s="4">
        <f>IF(F75&gt;=H75,F75*'All Sales'!$L$2,0)</f>
        <v>1526.28</v>
      </c>
    </row>
    <row r="76" spans="1:9" x14ac:dyDescent="0.25">
      <c r="A76" s="1">
        <v>44470</v>
      </c>
      <c r="B76" t="s">
        <v>56</v>
      </c>
      <c r="C76" t="s">
        <v>57</v>
      </c>
      <c r="D76" t="s">
        <v>58</v>
      </c>
      <c r="E76" t="s">
        <v>26</v>
      </c>
      <c r="F76" s="4">
        <v>20790</v>
      </c>
      <c r="G76" t="s">
        <v>15</v>
      </c>
      <c r="H76">
        <v>15000</v>
      </c>
      <c r="I76" s="4">
        <f>IF(F76&gt;=H76,F76*'All Sales'!$L$2,0)</f>
        <v>2079</v>
      </c>
    </row>
    <row r="77" spans="1:9" x14ac:dyDescent="0.25">
      <c r="A77" s="1">
        <v>44470</v>
      </c>
      <c r="B77" t="s">
        <v>50</v>
      </c>
      <c r="C77" t="s">
        <v>51</v>
      </c>
      <c r="D77" t="s">
        <v>52</v>
      </c>
      <c r="E77" t="s">
        <v>26</v>
      </c>
      <c r="F77" s="4">
        <v>21878.5</v>
      </c>
      <c r="G77" t="s">
        <v>11</v>
      </c>
      <c r="H77">
        <v>15000</v>
      </c>
      <c r="I77" s="4">
        <f>IF(F77&gt;=H77,F77*'All Sales'!$L$2,0)</f>
        <v>2187.85</v>
      </c>
    </row>
    <row r="78" spans="1:9" x14ac:dyDescent="0.25">
      <c r="A78" s="1">
        <v>44470</v>
      </c>
      <c r="B78" t="s">
        <v>56</v>
      </c>
      <c r="C78" t="s">
        <v>57</v>
      </c>
      <c r="D78" t="s">
        <v>58</v>
      </c>
      <c r="E78" t="s">
        <v>26</v>
      </c>
      <c r="F78" s="4">
        <v>22136.800000000003</v>
      </c>
      <c r="G78" t="s">
        <v>11</v>
      </c>
      <c r="H78">
        <v>15000</v>
      </c>
      <c r="I78" s="4">
        <f>IF(F78&gt;=H78,F78*'All Sales'!$L$2,0)</f>
        <v>2213.6800000000003</v>
      </c>
    </row>
    <row r="79" spans="1:9" x14ac:dyDescent="0.25">
      <c r="A79" s="1">
        <v>44470</v>
      </c>
      <c r="B79" t="s">
        <v>56</v>
      </c>
      <c r="C79" t="s">
        <v>57</v>
      </c>
      <c r="D79" t="s">
        <v>58</v>
      </c>
      <c r="E79" t="s">
        <v>26</v>
      </c>
      <c r="F79" s="4">
        <v>23240.400000000001</v>
      </c>
      <c r="G79" t="s">
        <v>15</v>
      </c>
      <c r="H79">
        <v>15000</v>
      </c>
      <c r="I79" s="4">
        <f>IF(F79&gt;=H79,F79*'All Sales'!$L$2,0)</f>
        <v>2324.0400000000004</v>
      </c>
    </row>
    <row r="80" spans="1:9" x14ac:dyDescent="0.25">
      <c r="A80" s="1">
        <v>44470</v>
      </c>
      <c r="B80" t="s">
        <v>50</v>
      </c>
      <c r="C80" t="s">
        <v>51</v>
      </c>
      <c r="D80" t="s">
        <v>52</v>
      </c>
      <c r="E80" t="s">
        <v>26</v>
      </c>
      <c r="F80" s="4">
        <v>41989.599999999999</v>
      </c>
      <c r="G80" t="s">
        <v>11</v>
      </c>
      <c r="H80">
        <v>15000</v>
      </c>
      <c r="I80" s="4">
        <f>IF(F80&gt;=H80,F80*'All Sales'!$L$2,0)</f>
        <v>4198.96</v>
      </c>
    </row>
    <row r="81" spans="1:9" x14ac:dyDescent="0.25">
      <c r="A81" s="1">
        <v>44501</v>
      </c>
      <c r="B81" t="s">
        <v>34</v>
      </c>
      <c r="C81" t="s">
        <v>35</v>
      </c>
      <c r="D81" t="s">
        <v>36</v>
      </c>
      <c r="E81" t="s">
        <v>26</v>
      </c>
      <c r="F81" s="4">
        <v>9006</v>
      </c>
      <c r="G81" t="s">
        <v>43</v>
      </c>
      <c r="H81">
        <v>15000</v>
      </c>
      <c r="I81" s="4">
        <f>IF(F81&gt;=H81,F81*'All Sales'!$L$2,0)</f>
        <v>0</v>
      </c>
    </row>
    <row r="82" spans="1:9" x14ac:dyDescent="0.25">
      <c r="A82" s="1">
        <v>44501</v>
      </c>
      <c r="B82" t="s">
        <v>50</v>
      </c>
      <c r="C82" t="s">
        <v>51</v>
      </c>
      <c r="D82" t="s">
        <v>52</v>
      </c>
      <c r="E82" t="s">
        <v>26</v>
      </c>
      <c r="F82" s="4">
        <v>10573.5</v>
      </c>
      <c r="G82" t="s">
        <v>11</v>
      </c>
      <c r="H82">
        <v>15000</v>
      </c>
      <c r="I82" s="4">
        <f>IF(F82&gt;=H82,F82*'All Sales'!$L$2,0)</f>
        <v>0</v>
      </c>
    </row>
    <row r="83" spans="1:9" x14ac:dyDescent="0.25">
      <c r="A83" s="1">
        <v>44501</v>
      </c>
      <c r="B83" t="s">
        <v>47</v>
      </c>
      <c r="C83" t="s">
        <v>48</v>
      </c>
      <c r="D83" t="s">
        <v>49</v>
      </c>
      <c r="E83" t="s">
        <v>26</v>
      </c>
      <c r="F83" s="4">
        <v>13230</v>
      </c>
      <c r="G83" t="s">
        <v>15</v>
      </c>
      <c r="H83">
        <v>15000</v>
      </c>
      <c r="I83" s="4">
        <f>IF(F83&gt;=H83,F83*'All Sales'!$L$2,0)</f>
        <v>0</v>
      </c>
    </row>
    <row r="84" spans="1:9" x14ac:dyDescent="0.25">
      <c r="A84" s="1">
        <v>44501</v>
      </c>
      <c r="B84" t="s">
        <v>23</v>
      </c>
      <c r="C84" t="s">
        <v>24</v>
      </c>
      <c r="D84" t="s">
        <v>25</v>
      </c>
      <c r="E84" t="s">
        <v>26</v>
      </c>
      <c r="F84" s="4">
        <v>15403.600000000002</v>
      </c>
      <c r="G84" t="s">
        <v>15</v>
      </c>
      <c r="H84">
        <v>15000</v>
      </c>
      <c r="I84" s="4">
        <f>IF(F84&gt;=H84,F84*'All Sales'!$L$2,0)</f>
        <v>1540.3600000000004</v>
      </c>
    </row>
    <row r="85" spans="1:9" x14ac:dyDescent="0.25">
      <c r="A85" s="1">
        <v>44501</v>
      </c>
      <c r="B85" t="s">
        <v>34</v>
      </c>
      <c r="C85" t="s">
        <v>35</v>
      </c>
      <c r="D85" t="s">
        <v>36</v>
      </c>
      <c r="E85" t="s">
        <v>26</v>
      </c>
      <c r="F85" s="4">
        <v>16394.399999999998</v>
      </c>
      <c r="G85" t="s">
        <v>15</v>
      </c>
      <c r="H85">
        <v>15000</v>
      </c>
      <c r="I85" s="4">
        <f>IF(F85&gt;=H85,F85*'All Sales'!$L$2,0)</f>
        <v>1639.4399999999998</v>
      </c>
    </row>
    <row r="86" spans="1:9" x14ac:dyDescent="0.25">
      <c r="A86" s="1">
        <v>44501</v>
      </c>
      <c r="B86" t="s">
        <v>34</v>
      </c>
      <c r="C86" t="s">
        <v>35</v>
      </c>
      <c r="D86" t="s">
        <v>36</v>
      </c>
      <c r="E86" t="s">
        <v>26</v>
      </c>
      <c r="F86" s="4">
        <v>16606</v>
      </c>
      <c r="G86" t="s">
        <v>43</v>
      </c>
      <c r="H86">
        <v>15000</v>
      </c>
      <c r="I86" s="4">
        <f>IF(F86&gt;=H86,F86*'All Sales'!$L$2,0)</f>
        <v>1660.6000000000001</v>
      </c>
    </row>
    <row r="87" spans="1:9" x14ac:dyDescent="0.25">
      <c r="A87" s="1">
        <v>44501</v>
      </c>
      <c r="B87" t="s">
        <v>23</v>
      </c>
      <c r="C87" t="s">
        <v>24</v>
      </c>
      <c r="D87" t="s">
        <v>25</v>
      </c>
      <c r="E87" t="s">
        <v>26</v>
      </c>
      <c r="F87" s="4">
        <v>18452.599999999999</v>
      </c>
      <c r="G87" t="s">
        <v>43</v>
      </c>
      <c r="H87">
        <v>15000</v>
      </c>
      <c r="I87" s="4">
        <f>IF(F87&gt;=H87,F87*'All Sales'!$L$2,0)</f>
        <v>1845.26</v>
      </c>
    </row>
    <row r="88" spans="1:9" x14ac:dyDescent="0.25">
      <c r="A88" s="1">
        <v>44501</v>
      </c>
      <c r="B88" t="s">
        <v>50</v>
      </c>
      <c r="C88" t="s">
        <v>51</v>
      </c>
      <c r="D88" t="s">
        <v>52</v>
      </c>
      <c r="E88" t="s">
        <v>26</v>
      </c>
      <c r="F88" s="4">
        <v>20062.5</v>
      </c>
      <c r="G88" t="s">
        <v>11</v>
      </c>
      <c r="H88">
        <v>15000</v>
      </c>
      <c r="I88" s="4">
        <f>IF(F88&gt;=H88,F88*'All Sales'!$L$2,0)</f>
        <v>2006.25</v>
      </c>
    </row>
    <row r="89" spans="1:9" x14ac:dyDescent="0.25">
      <c r="A89" s="1">
        <v>44501</v>
      </c>
      <c r="B89" t="s">
        <v>56</v>
      </c>
      <c r="C89" t="s">
        <v>57</v>
      </c>
      <c r="D89" t="s">
        <v>58</v>
      </c>
      <c r="E89" t="s">
        <v>26</v>
      </c>
      <c r="F89" s="4">
        <v>22900.499999999996</v>
      </c>
      <c r="G89" t="s">
        <v>11</v>
      </c>
      <c r="H89">
        <v>15000</v>
      </c>
      <c r="I89" s="4">
        <f>IF(F89&gt;=H89,F89*'All Sales'!$L$2,0)</f>
        <v>2290.0499999999997</v>
      </c>
    </row>
    <row r="90" spans="1:9" x14ac:dyDescent="0.25">
      <c r="A90" s="1">
        <v>44501</v>
      </c>
      <c r="B90" t="s">
        <v>56</v>
      </c>
      <c r="C90" t="s">
        <v>57</v>
      </c>
      <c r="D90" t="s">
        <v>58</v>
      </c>
      <c r="E90" t="s">
        <v>26</v>
      </c>
      <c r="F90" s="4">
        <v>23057.999999999996</v>
      </c>
      <c r="G90" t="s">
        <v>43</v>
      </c>
      <c r="H90">
        <v>15000</v>
      </c>
      <c r="I90" s="4">
        <f>IF(F90&gt;=H90,F90*'All Sales'!$L$2,0)</f>
        <v>2305.7999999999997</v>
      </c>
    </row>
    <row r="91" spans="1:9" x14ac:dyDescent="0.25">
      <c r="A91" s="1">
        <v>44501</v>
      </c>
      <c r="B91" t="s">
        <v>34</v>
      </c>
      <c r="C91" t="s">
        <v>35</v>
      </c>
      <c r="D91" t="s">
        <v>36</v>
      </c>
      <c r="E91" t="s">
        <v>26</v>
      </c>
      <c r="F91" s="4">
        <v>37560</v>
      </c>
      <c r="G91" t="s">
        <v>43</v>
      </c>
      <c r="H91">
        <v>15000</v>
      </c>
      <c r="I91" s="4">
        <f>IF(F91&gt;=H91,F91*'All Sales'!$L$2,0)</f>
        <v>3756</v>
      </c>
    </row>
    <row r="92" spans="1:9" x14ac:dyDescent="0.25">
      <c r="A92" s="1">
        <v>44501</v>
      </c>
      <c r="B92" t="s">
        <v>50</v>
      </c>
      <c r="C92" t="s">
        <v>51</v>
      </c>
      <c r="D92" t="s">
        <v>52</v>
      </c>
      <c r="E92" t="s">
        <v>26</v>
      </c>
      <c r="F92" s="4">
        <v>38570</v>
      </c>
      <c r="G92" t="s">
        <v>11</v>
      </c>
      <c r="H92">
        <v>15000</v>
      </c>
      <c r="I92" s="4">
        <f>IF(F92&gt;=H92,F92*'All Sales'!$L$2,0)</f>
        <v>3857</v>
      </c>
    </row>
    <row r="93" spans="1:9" x14ac:dyDescent="0.25">
      <c r="A93" s="1">
        <v>44501</v>
      </c>
      <c r="B93" t="s">
        <v>23</v>
      </c>
      <c r="C93" t="s">
        <v>24</v>
      </c>
      <c r="D93" t="s">
        <v>25</v>
      </c>
      <c r="E93" t="s">
        <v>26</v>
      </c>
      <c r="F93" s="4">
        <v>39199.599999999999</v>
      </c>
      <c r="G93" t="s">
        <v>43</v>
      </c>
      <c r="H93">
        <v>15000</v>
      </c>
      <c r="I93" s="4">
        <f>IF(F93&gt;=H93,F93*'All Sales'!$L$2,0)</f>
        <v>3919.96</v>
      </c>
    </row>
    <row r="94" spans="1:9" x14ac:dyDescent="0.25">
      <c r="A94" s="1">
        <v>44531</v>
      </c>
      <c r="B94" t="s">
        <v>34</v>
      </c>
      <c r="C94" t="s">
        <v>35</v>
      </c>
      <c r="D94" t="s">
        <v>36</v>
      </c>
      <c r="E94" t="s">
        <v>26</v>
      </c>
      <c r="F94" s="4">
        <v>8082.7999999999993</v>
      </c>
      <c r="G94" t="s">
        <v>11</v>
      </c>
      <c r="H94">
        <v>15000</v>
      </c>
      <c r="I94" s="4">
        <f>IF(F94&gt;=H94,F94*'All Sales'!$L$2,0)</f>
        <v>0</v>
      </c>
    </row>
    <row r="95" spans="1:9" x14ac:dyDescent="0.25">
      <c r="A95" s="1">
        <v>44531</v>
      </c>
      <c r="B95" t="s">
        <v>50</v>
      </c>
      <c r="C95" t="s">
        <v>51</v>
      </c>
      <c r="D95" t="s">
        <v>52</v>
      </c>
      <c r="E95" t="s">
        <v>26</v>
      </c>
      <c r="F95" s="4">
        <v>9826.4</v>
      </c>
      <c r="G95" t="s">
        <v>43</v>
      </c>
      <c r="H95">
        <v>15000</v>
      </c>
      <c r="I95" s="4">
        <f>IF(F95&gt;=H95,F95*'All Sales'!$L$2,0)</f>
        <v>0</v>
      </c>
    </row>
    <row r="96" spans="1:9" x14ac:dyDescent="0.25">
      <c r="A96" s="1">
        <v>44531</v>
      </c>
      <c r="B96" t="s">
        <v>56</v>
      </c>
      <c r="C96" t="s">
        <v>57</v>
      </c>
      <c r="D96" t="s">
        <v>58</v>
      </c>
      <c r="E96" t="s">
        <v>26</v>
      </c>
      <c r="F96" s="4">
        <v>12328</v>
      </c>
      <c r="G96" t="s">
        <v>15</v>
      </c>
      <c r="H96">
        <v>15000</v>
      </c>
      <c r="I96" s="4">
        <f>IF(F96&gt;=H96,F96*'All Sales'!$L$2,0)</f>
        <v>0</v>
      </c>
    </row>
    <row r="97" spans="1:9" x14ac:dyDescent="0.25">
      <c r="A97" s="1">
        <v>44531</v>
      </c>
      <c r="B97" t="s">
        <v>34</v>
      </c>
      <c r="C97" t="s">
        <v>35</v>
      </c>
      <c r="D97" t="s">
        <v>36</v>
      </c>
      <c r="E97" t="s">
        <v>26</v>
      </c>
      <c r="F97" s="4">
        <v>24544</v>
      </c>
      <c r="G97" t="s">
        <v>15</v>
      </c>
      <c r="H97">
        <v>15000</v>
      </c>
      <c r="I97" s="4">
        <f>IF(F97&gt;=H97,F97*'All Sales'!$L$2,0)</f>
        <v>2454.4</v>
      </c>
    </row>
    <row r="98" spans="1:9" x14ac:dyDescent="0.25">
      <c r="A98" s="1">
        <v>44531</v>
      </c>
      <c r="B98" t="s">
        <v>23</v>
      </c>
      <c r="C98" t="s">
        <v>24</v>
      </c>
      <c r="D98" t="s">
        <v>25</v>
      </c>
      <c r="E98" t="s">
        <v>26</v>
      </c>
      <c r="F98" s="4">
        <v>27350.400000000001</v>
      </c>
      <c r="G98" t="s">
        <v>43</v>
      </c>
      <c r="H98">
        <v>15000</v>
      </c>
      <c r="I98" s="4">
        <f>IF(F98&gt;=H98,F98*'All Sales'!$L$2,0)</f>
        <v>2735.0400000000004</v>
      </c>
    </row>
    <row r="99" spans="1:9" x14ac:dyDescent="0.25">
      <c r="A99" s="1">
        <v>44531</v>
      </c>
      <c r="B99" t="s">
        <v>47</v>
      </c>
      <c r="C99" t="s">
        <v>48</v>
      </c>
      <c r="D99" t="s">
        <v>49</v>
      </c>
      <c r="E99" t="s">
        <v>26</v>
      </c>
      <c r="F99" s="4">
        <v>28845</v>
      </c>
      <c r="G99" t="s">
        <v>15</v>
      </c>
      <c r="H99">
        <v>15000</v>
      </c>
      <c r="I99" s="4">
        <f>IF(F99&gt;=H99,F99*'All Sales'!$L$2,0)</f>
        <v>2884.5</v>
      </c>
    </row>
    <row r="100" spans="1:9" x14ac:dyDescent="0.25">
      <c r="A100" s="1">
        <v>44531</v>
      </c>
      <c r="B100" t="s">
        <v>23</v>
      </c>
      <c r="C100" t="s">
        <v>24</v>
      </c>
      <c r="D100" t="s">
        <v>25</v>
      </c>
      <c r="E100" t="s">
        <v>26</v>
      </c>
      <c r="F100" s="4">
        <v>43593.599999999999</v>
      </c>
      <c r="G100" t="s">
        <v>15</v>
      </c>
      <c r="H100">
        <v>15000</v>
      </c>
      <c r="I100" s="4">
        <f>IF(F100&gt;=H100,F100*'All Sales'!$L$2,0)</f>
        <v>4359.3599999999997</v>
      </c>
    </row>
  </sheetData>
  <autoFilter ref="A1:I1" xr:uid="{56E8ABF4-FC2B-49E0-A8CF-233A05A9F7B0}"/>
  <conditionalFormatting sqref="F2:F100">
    <cfRule type="top10" dxfId="2" priority="1" rank="5"/>
  </conditionalFormatting>
  <hyperlinks>
    <hyperlink ref="P5" location="'Cover Page'!A1" display="Back to Cover Page" xr:uid="{C1363BE3-2108-4D43-B8CC-C3EE92C8CE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1F6-FD31-4B9F-8149-C50E5F71A245}">
  <dimension ref="A1:P97"/>
  <sheetViews>
    <sheetView zoomScale="85" zoomScaleNormal="85" workbookViewId="0">
      <selection activeCell="A2" sqref="A2"/>
    </sheetView>
  </sheetViews>
  <sheetFormatPr defaultRowHeight="15" x14ac:dyDescent="0.25"/>
  <cols>
    <col min="1" max="1" width="11.5703125" customWidth="1"/>
    <col min="2" max="2" width="16.85546875" customWidth="1"/>
    <col min="3" max="3" width="12" customWidth="1"/>
    <col min="4" max="4" width="12.140625" customWidth="1"/>
    <col min="5" max="5" width="10.42578125" customWidth="1"/>
    <col min="6" max="6" width="15.7109375" customWidth="1"/>
    <col min="7" max="7" width="13.140625" customWidth="1"/>
    <col min="9" max="9" width="13.5703125" customWidth="1"/>
    <col min="11" max="11" width="18.140625" customWidth="1"/>
    <col min="12" max="12" width="11.28515625" bestFit="1" customWidth="1"/>
    <col min="13" max="16" width="12.8554687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74</v>
      </c>
      <c r="I1" s="2" t="s">
        <v>75</v>
      </c>
    </row>
    <row r="2" spans="1:16" x14ac:dyDescent="0.25">
      <c r="A2" s="1">
        <v>44197</v>
      </c>
      <c r="B2" t="s">
        <v>16</v>
      </c>
      <c r="C2" t="s">
        <v>17</v>
      </c>
      <c r="D2" t="s">
        <v>18</v>
      </c>
      <c r="E2" t="s">
        <v>10</v>
      </c>
      <c r="F2" s="4">
        <v>2954.7</v>
      </c>
      <c r="G2" t="s">
        <v>15</v>
      </c>
      <c r="H2">
        <v>15000</v>
      </c>
      <c r="I2" s="4">
        <f>IF(F2&gt;=H2,F2*'All Sales'!$L$2,0)</f>
        <v>0</v>
      </c>
    </row>
    <row r="3" spans="1:16" x14ac:dyDescent="0.25">
      <c r="A3" s="1">
        <v>44197</v>
      </c>
      <c r="B3" t="s">
        <v>68</v>
      </c>
      <c r="C3" t="s">
        <v>69</v>
      </c>
      <c r="D3" t="s">
        <v>70</v>
      </c>
      <c r="E3" t="s">
        <v>10</v>
      </c>
      <c r="F3" s="4">
        <v>6796.7999999999993</v>
      </c>
      <c r="G3" t="s">
        <v>11</v>
      </c>
      <c r="H3">
        <v>15000</v>
      </c>
      <c r="I3" s="4">
        <f>IF(F3&gt;=H3,F3*'All Sales'!$L$2,0)</f>
        <v>0</v>
      </c>
      <c r="K3" s="6" t="s">
        <v>77</v>
      </c>
      <c r="L3" s="5" t="str" cm="1">
        <f t="array" ref="L3:P3">TRANSPOSE(_xlfn.UNIQUE(_xlfn._xlws.SORT(C2:C97)))</f>
        <v>Ashley</v>
      </c>
      <c r="M3" s="5" t="str">
        <v>Bryan</v>
      </c>
      <c r="N3" s="5" t="str">
        <v>Derek</v>
      </c>
      <c r="O3" s="5" t="str">
        <v>Gordon</v>
      </c>
      <c r="P3" s="5" t="str">
        <v>Reza</v>
      </c>
    </row>
    <row r="4" spans="1:16" x14ac:dyDescent="0.25">
      <c r="A4" s="1">
        <v>44197</v>
      </c>
      <c r="B4" t="s">
        <v>68</v>
      </c>
      <c r="C4" t="s">
        <v>69</v>
      </c>
      <c r="D4" t="s">
        <v>70</v>
      </c>
      <c r="E4" t="s">
        <v>10</v>
      </c>
      <c r="F4" s="4">
        <v>8188</v>
      </c>
      <c r="G4" t="s">
        <v>43</v>
      </c>
      <c r="H4">
        <v>15000</v>
      </c>
      <c r="I4" s="4">
        <f>IF(F4&gt;=H4,F4*'All Sales'!$L$2,0)</f>
        <v>0</v>
      </c>
      <c r="K4" s="7" t="s">
        <v>78</v>
      </c>
      <c r="L4" s="8" cm="1">
        <f t="array" ref="L4:P4">SUMIFS($F$2:$F$97,$C$2:$C$97,_xlfn.ANCHORARRAY(L3))</f>
        <v>368364.79999999999</v>
      </c>
      <c r="M4" s="8">
        <v>227895.80000000002</v>
      </c>
      <c r="N4" s="8">
        <v>371911.9</v>
      </c>
      <c r="O4" s="8">
        <v>310854.5</v>
      </c>
      <c r="P4" s="8">
        <v>526806.6</v>
      </c>
    </row>
    <row r="5" spans="1:16" x14ac:dyDescent="0.25">
      <c r="A5" s="1">
        <v>44197</v>
      </c>
      <c r="B5" t="s">
        <v>16</v>
      </c>
      <c r="C5" t="s">
        <v>17</v>
      </c>
      <c r="D5" t="s">
        <v>18</v>
      </c>
      <c r="E5" t="s">
        <v>10</v>
      </c>
      <c r="F5" s="4">
        <v>9058.4</v>
      </c>
      <c r="G5" t="s">
        <v>11</v>
      </c>
      <c r="H5">
        <v>15000</v>
      </c>
      <c r="I5" s="4">
        <f>IF(F5&gt;=H5,F5*'All Sales'!$L$2,0)</f>
        <v>0</v>
      </c>
    </row>
    <row r="6" spans="1:16" x14ac:dyDescent="0.25">
      <c r="A6" s="1">
        <v>44197</v>
      </c>
      <c r="B6" t="s">
        <v>68</v>
      </c>
      <c r="C6" t="s">
        <v>69</v>
      </c>
      <c r="D6" t="s">
        <v>70</v>
      </c>
      <c r="E6" t="s">
        <v>10</v>
      </c>
      <c r="F6" s="4">
        <v>12096</v>
      </c>
      <c r="G6" t="s">
        <v>43</v>
      </c>
      <c r="H6">
        <v>15000</v>
      </c>
      <c r="I6" s="4">
        <f>IF(F6&gt;=H6,F6*'All Sales'!$L$2,0)</f>
        <v>0</v>
      </c>
      <c r="P6" s="12" t="s">
        <v>136</v>
      </c>
    </row>
    <row r="7" spans="1:16" x14ac:dyDescent="0.25">
      <c r="A7" s="1">
        <v>44197</v>
      </c>
      <c r="B7" t="s">
        <v>7</v>
      </c>
      <c r="C7" t="s">
        <v>8</v>
      </c>
      <c r="D7" t="s">
        <v>9</v>
      </c>
      <c r="E7" t="s">
        <v>10</v>
      </c>
      <c r="F7" s="4">
        <v>15029</v>
      </c>
      <c r="G7" t="s">
        <v>15</v>
      </c>
      <c r="H7">
        <v>15000</v>
      </c>
      <c r="I7" s="4">
        <f>IF(F7&gt;=H7,F7*'All Sales'!$L$2,0)</f>
        <v>1502.9</v>
      </c>
    </row>
    <row r="8" spans="1:16" x14ac:dyDescent="0.25">
      <c r="A8" s="1">
        <v>44197</v>
      </c>
      <c r="B8" t="s">
        <v>7</v>
      </c>
      <c r="C8" t="s">
        <v>8</v>
      </c>
      <c r="D8" t="s">
        <v>9</v>
      </c>
      <c r="E8" t="s">
        <v>10</v>
      </c>
      <c r="F8" s="4">
        <v>15264</v>
      </c>
      <c r="G8" t="s">
        <v>15</v>
      </c>
      <c r="H8">
        <v>15000</v>
      </c>
      <c r="I8" s="4">
        <f>IF(F8&gt;=H8,F8*'All Sales'!$L$2,0)</f>
        <v>1526.4</v>
      </c>
    </row>
    <row r="9" spans="1:16" x14ac:dyDescent="0.25">
      <c r="A9" s="1">
        <v>44197</v>
      </c>
      <c r="B9" t="s">
        <v>7</v>
      </c>
      <c r="C9" t="s">
        <v>8</v>
      </c>
      <c r="D9" t="s">
        <v>9</v>
      </c>
      <c r="E9" t="s">
        <v>10</v>
      </c>
      <c r="F9" s="4">
        <v>17353.599999999999</v>
      </c>
      <c r="G9" t="s">
        <v>11</v>
      </c>
      <c r="H9">
        <v>15000</v>
      </c>
      <c r="I9" s="4">
        <f>IF(F9&gt;=H9,F9*'All Sales'!$L$2,0)</f>
        <v>1735.36</v>
      </c>
    </row>
    <row r="10" spans="1:16" x14ac:dyDescent="0.25">
      <c r="A10" s="1">
        <v>44197</v>
      </c>
      <c r="B10" t="s">
        <v>12</v>
      </c>
      <c r="C10" t="s">
        <v>13</v>
      </c>
      <c r="D10" t="s">
        <v>14</v>
      </c>
      <c r="E10" t="s">
        <v>10</v>
      </c>
      <c r="F10" s="4">
        <v>20140</v>
      </c>
      <c r="G10" t="s">
        <v>43</v>
      </c>
      <c r="H10">
        <v>15000</v>
      </c>
      <c r="I10" s="4">
        <f>IF(F10&gt;=H10,F10*'All Sales'!$L$2,0)</f>
        <v>2014</v>
      </c>
    </row>
    <row r="11" spans="1:16" x14ac:dyDescent="0.25">
      <c r="A11" s="1">
        <v>44197</v>
      </c>
      <c r="B11" t="s">
        <v>12</v>
      </c>
      <c r="C11" t="s">
        <v>13</v>
      </c>
      <c r="D11" t="s">
        <v>14</v>
      </c>
      <c r="E11" t="s">
        <v>10</v>
      </c>
      <c r="F11" s="4">
        <v>35649</v>
      </c>
      <c r="G11" t="s">
        <v>11</v>
      </c>
      <c r="H11">
        <v>15000</v>
      </c>
      <c r="I11" s="4">
        <f>IF(F11&gt;=H11,F11*'All Sales'!$L$2,0)</f>
        <v>3564.9</v>
      </c>
    </row>
    <row r="12" spans="1:16" x14ac:dyDescent="0.25">
      <c r="A12" s="1">
        <v>44228</v>
      </c>
      <c r="B12" t="s">
        <v>27</v>
      </c>
      <c r="C12" t="s">
        <v>28</v>
      </c>
      <c r="D12" t="s">
        <v>29</v>
      </c>
      <c r="E12" t="s">
        <v>10</v>
      </c>
      <c r="F12" s="4">
        <v>7717.5</v>
      </c>
      <c r="G12" t="s">
        <v>43</v>
      </c>
      <c r="H12">
        <v>15000</v>
      </c>
      <c r="I12" s="4">
        <f>IF(F12&gt;=H12,F12*'All Sales'!$L$2,0)</f>
        <v>0</v>
      </c>
    </row>
    <row r="13" spans="1:16" x14ac:dyDescent="0.25">
      <c r="A13" s="1">
        <v>44228</v>
      </c>
      <c r="B13" t="s">
        <v>27</v>
      </c>
      <c r="C13" t="s">
        <v>28</v>
      </c>
      <c r="D13" t="s">
        <v>29</v>
      </c>
      <c r="E13" t="s">
        <v>10</v>
      </c>
      <c r="F13" s="4">
        <v>11617.6</v>
      </c>
      <c r="G13" t="s">
        <v>15</v>
      </c>
      <c r="H13">
        <v>15000</v>
      </c>
      <c r="I13" s="4">
        <f>IF(F13&gt;=H13,F13*'All Sales'!$L$2,0)</f>
        <v>0</v>
      </c>
    </row>
    <row r="14" spans="1:16" x14ac:dyDescent="0.25">
      <c r="A14" s="1">
        <v>44228</v>
      </c>
      <c r="B14" t="s">
        <v>12</v>
      </c>
      <c r="C14" t="s">
        <v>13</v>
      </c>
      <c r="D14" t="s">
        <v>14</v>
      </c>
      <c r="E14" t="s">
        <v>10</v>
      </c>
      <c r="F14" s="4">
        <v>19431</v>
      </c>
      <c r="G14" t="s">
        <v>15</v>
      </c>
      <c r="H14">
        <v>15000</v>
      </c>
      <c r="I14" s="4">
        <f>IF(F14&gt;=H14,F14*'All Sales'!$L$2,0)</f>
        <v>1943.1000000000001</v>
      </c>
    </row>
    <row r="15" spans="1:16" x14ac:dyDescent="0.25">
      <c r="A15" s="1">
        <v>44228</v>
      </c>
      <c r="B15" t="s">
        <v>7</v>
      </c>
      <c r="C15" t="s">
        <v>8</v>
      </c>
      <c r="D15" t="s">
        <v>9</v>
      </c>
      <c r="E15" t="s">
        <v>10</v>
      </c>
      <c r="F15" s="4">
        <v>21169.599999999999</v>
      </c>
      <c r="G15" t="s">
        <v>15</v>
      </c>
      <c r="H15">
        <v>15000</v>
      </c>
      <c r="I15" s="4">
        <f>IF(F15&gt;=H15,F15*'All Sales'!$L$2,0)</f>
        <v>2116.96</v>
      </c>
    </row>
    <row r="16" spans="1:16" x14ac:dyDescent="0.25">
      <c r="A16" s="1">
        <v>44228</v>
      </c>
      <c r="B16" t="s">
        <v>16</v>
      </c>
      <c r="C16" t="s">
        <v>17</v>
      </c>
      <c r="D16" t="s">
        <v>18</v>
      </c>
      <c r="E16" t="s">
        <v>10</v>
      </c>
      <c r="F16" s="4">
        <v>29158.400000000001</v>
      </c>
      <c r="G16" t="s">
        <v>15</v>
      </c>
      <c r="H16">
        <v>15000</v>
      </c>
      <c r="I16" s="4">
        <f>IF(F16&gt;=H16,F16*'All Sales'!$L$2,0)</f>
        <v>2915.84</v>
      </c>
    </row>
    <row r="17" spans="1:9" x14ac:dyDescent="0.25">
      <c r="A17" s="1">
        <v>44228</v>
      </c>
      <c r="B17" t="s">
        <v>12</v>
      </c>
      <c r="C17" t="s">
        <v>13</v>
      </c>
      <c r="D17" t="s">
        <v>14</v>
      </c>
      <c r="E17" t="s">
        <v>10</v>
      </c>
      <c r="F17" s="4">
        <v>30305</v>
      </c>
      <c r="G17" t="s">
        <v>11</v>
      </c>
      <c r="H17">
        <v>15000</v>
      </c>
      <c r="I17" s="4">
        <f>IF(F17&gt;=H17,F17*'All Sales'!$L$2,0)</f>
        <v>3030.5</v>
      </c>
    </row>
    <row r="18" spans="1:9" x14ac:dyDescent="0.25">
      <c r="A18" s="1">
        <v>44228</v>
      </c>
      <c r="B18" t="s">
        <v>27</v>
      </c>
      <c r="C18" t="s">
        <v>28</v>
      </c>
      <c r="D18" t="s">
        <v>29</v>
      </c>
      <c r="E18" t="s">
        <v>10</v>
      </c>
      <c r="F18" s="4">
        <v>43184.399999999994</v>
      </c>
      <c r="G18" t="s">
        <v>43</v>
      </c>
      <c r="H18">
        <v>15000</v>
      </c>
      <c r="I18" s="4">
        <f>IF(F18&gt;=H18,F18*'All Sales'!$L$2,0)</f>
        <v>4318.4399999999996</v>
      </c>
    </row>
    <row r="19" spans="1:9" x14ac:dyDescent="0.25">
      <c r="A19" s="1">
        <v>44256</v>
      </c>
      <c r="B19" t="s">
        <v>12</v>
      </c>
      <c r="C19" t="s">
        <v>13</v>
      </c>
      <c r="D19" t="s">
        <v>14</v>
      </c>
      <c r="E19" t="s">
        <v>10</v>
      </c>
      <c r="F19" s="4">
        <v>2311.5</v>
      </c>
      <c r="G19" t="s">
        <v>15</v>
      </c>
      <c r="H19">
        <v>15000</v>
      </c>
      <c r="I19" s="4">
        <f>IF(F19&gt;=H19,F19*'All Sales'!$L$2,0)</f>
        <v>0</v>
      </c>
    </row>
    <row r="20" spans="1:9" x14ac:dyDescent="0.25">
      <c r="A20" s="1">
        <v>44256</v>
      </c>
      <c r="B20" t="s">
        <v>27</v>
      </c>
      <c r="C20" t="s">
        <v>28</v>
      </c>
      <c r="D20" t="s">
        <v>29</v>
      </c>
      <c r="E20" t="s">
        <v>10</v>
      </c>
      <c r="F20" s="4">
        <v>3013.5</v>
      </c>
      <c r="G20" t="s">
        <v>15</v>
      </c>
      <c r="H20">
        <v>15000</v>
      </c>
      <c r="I20" s="4">
        <f>IF(F20&gt;=H20,F20*'All Sales'!$L$2,0)</f>
        <v>0</v>
      </c>
    </row>
    <row r="21" spans="1:9" x14ac:dyDescent="0.25">
      <c r="A21" s="1">
        <v>44256</v>
      </c>
      <c r="B21" t="s">
        <v>27</v>
      </c>
      <c r="C21" t="s">
        <v>28</v>
      </c>
      <c r="D21" t="s">
        <v>29</v>
      </c>
      <c r="E21" t="s">
        <v>10</v>
      </c>
      <c r="F21" s="4">
        <v>5287.5</v>
      </c>
      <c r="G21" t="s">
        <v>15</v>
      </c>
      <c r="H21">
        <v>15000</v>
      </c>
      <c r="I21" s="4">
        <f>IF(F21&gt;=H21,F21*'All Sales'!$L$2,0)</f>
        <v>0</v>
      </c>
    </row>
    <row r="22" spans="1:9" x14ac:dyDescent="0.25">
      <c r="A22" s="1">
        <v>44256</v>
      </c>
      <c r="B22" t="s">
        <v>16</v>
      </c>
      <c r="C22" t="s">
        <v>17</v>
      </c>
      <c r="D22" t="s">
        <v>18</v>
      </c>
      <c r="E22" t="s">
        <v>10</v>
      </c>
      <c r="F22" s="4">
        <v>13797</v>
      </c>
      <c r="G22" t="s">
        <v>11</v>
      </c>
      <c r="H22">
        <v>15000</v>
      </c>
      <c r="I22" s="4">
        <f>IF(F22&gt;=H22,F22*'All Sales'!$L$2,0)</f>
        <v>0</v>
      </c>
    </row>
    <row r="23" spans="1:9" x14ac:dyDescent="0.25">
      <c r="A23" s="1">
        <v>44256</v>
      </c>
      <c r="B23" t="s">
        <v>68</v>
      </c>
      <c r="C23" t="s">
        <v>69</v>
      </c>
      <c r="D23" t="s">
        <v>70</v>
      </c>
      <c r="E23" t="s">
        <v>10</v>
      </c>
      <c r="F23" s="4">
        <v>14063</v>
      </c>
      <c r="G23" t="s">
        <v>15</v>
      </c>
      <c r="H23">
        <v>15000</v>
      </c>
      <c r="I23" s="4">
        <f>IF(F23&gt;=H23,F23*'All Sales'!$L$2,0)</f>
        <v>0</v>
      </c>
    </row>
    <row r="24" spans="1:9" x14ac:dyDescent="0.25">
      <c r="A24" s="1">
        <v>44256</v>
      </c>
      <c r="B24" t="s">
        <v>16</v>
      </c>
      <c r="C24" t="s">
        <v>17</v>
      </c>
      <c r="D24" t="s">
        <v>18</v>
      </c>
      <c r="E24" t="s">
        <v>10</v>
      </c>
      <c r="F24" s="4">
        <v>14608.300000000001</v>
      </c>
      <c r="G24" t="s">
        <v>11</v>
      </c>
      <c r="H24">
        <v>15000</v>
      </c>
      <c r="I24" s="4">
        <f>IF(F24&gt;=H24,F24*'All Sales'!$L$2,0)</f>
        <v>0</v>
      </c>
    </row>
    <row r="25" spans="1:9" x14ac:dyDescent="0.25">
      <c r="A25" s="1">
        <v>44256</v>
      </c>
      <c r="B25" t="s">
        <v>27</v>
      </c>
      <c r="C25" t="s">
        <v>28</v>
      </c>
      <c r="D25" t="s">
        <v>29</v>
      </c>
      <c r="E25" t="s">
        <v>10</v>
      </c>
      <c r="F25" s="4">
        <v>16063.199999999999</v>
      </c>
      <c r="G25" t="s">
        <v>15</v>
      </c>
      <c r="H25">
        <v>15000</v>
      </c>
      <c r="I25" s="4">
        <f>IF(F25&gt;=H25,F25*'All Sales'!$L$2,0)</f>
        <v>1606.32</v>
      </c>
    </row>
    <row r="26" spans="1:9" x14ac:dyDescent="0.25">
      <c r="A26" s="1">
        <v>44256</v>
      </c>
      <c r="B26" t="s">
        <v>12</v>
      </c>
      <c r="C26" t="s">
        <v>13</v>
      </c>
      <c r="D26" t="s">
        <v>14</v>
      </c>
      <c r="E26" t="s">
        <v>10</v>
      </c>
      <c r="F26" s="4">
        <v>16836</v>
      </c>
      <c r="G26" t="s">
        <v>11</v>
      </c>
      <c r="H26">
        <v>15000</v>
      </c>
      <c r="I26" s="4">
        <f>IF(F26&gt;=H26,F26*'All Sales'!$L$2,0)</f>
        <v>1683.6000000000001</v>
      </c>
    </row>
    <row r="27" spans="1:9" x14ac:dyDescent="0.25">
      <c r="A27" s="1">
        <v>44256</v>
      </c>
      <c r="B27" t="s">
        <v>27</v>
      </c>
      <c r="C27" t="s">
        <v>28</v>
      </c>
      <c r="D27" t="s">
        <v>29</v>
      </c>
      <c r="E27" t="s">
        <v>10</v>
      </c>
      <c r="F27" s="4">
        <v>19594</v>
      </c>
      <c r="G27" t="s">
        <v>43</v>
      </c>
      <c r="H27">
        <v>15000</v>
      </c>
      <c r="I27" s="4">
        <f>IF(F27&gt;=H27,F27*'All Sales'!$L$2,0)</f>
        <v>1959.4</v>
      </c>
    </row>
    <row r="28" spans="1:9" x14ac:dyDescent="0.25">
      <c r="A28" s="1">
        <v>44256</v>
      </c>
      <c r="B28" t="s">
        <v>12</v>
      </c>
      <c r="C28" t="s">
        <v>13</v>
      </c>
      <c r="D28" t="s">
        <v>14</v>
      </c>
      <c r="E28" t="s">
        <v>10</v>
      </c>
      <c r="F28" s="4">
        <v>21654.400000000001</v>
      </c>
      <c r="G28" t="s">
        <v>15</v>
      </c>
      <c r="H28">
        <v>15000</v>
      </c>
      <c r="I28" s="4">
        <f>IF(F28&gt;=H28,F28*'All Sales'!$L$2,0)</f>
        <v>2165.44</v>
      </c>
    </row>
    <row r="29" spans="1:9" x14ac:dyDescent="0.25">
      <c r="A29" s="1">
        <v>44256</v>
      </c>
      <c r="B29" t="s">
        <v>68</v>
      </c>
      <c r="C29" t="s">
        <v>69</v>
      </c>
      <c r="D29" t="s">
        <v>70</v>
      </c>
      <c r="E29" t="s">
        <v>10</v>
      </c>
      <c r="F29" s="4">
        <v>27930</v>
      </c>
      <c r="G29" t="s">
        <v>11</v>
      </c>
      <c r="H29">
        <v>15000</v>
      </c>
      <c r="I29" s="4">
        <f>IF(F29&gt;=H29,F29*'All Sales'!$L$2,0)</f>
        <v>2793</v>
      </c>
    </row>
    <row r="30" spans="1:9" x14ac:dyDescent="0.25">
      <c r="A30" s="1">
        <v>44256</v>
      </c>
      <c r="B30" t="s">
        <v>7</v>
      </c>
      <c r="C30" t="s">
        <v>8</v>
      </c>
      <c r="D30" t="s">
        <v>9</v>
      </c>
      <c r="E30" t="s">
        <v>10</v>
      </c>
      <c r="F30" s="4">
        <v>39065.899999999994</v>
      </c>
      <c r="G30" t="s">
        <v>15</v>
      </c>
      <c r="H30">
        <v>15000</v>
      </c>
      <c r="I30" s="4">
        <f>IF(F30&gt;=H30,F30*'All Sales'!$L$2,0)</f>
        <v>3906.5899999999997</v>
      </c>
    </row>
    <row r="31" spans="1:9" x14ac:dyDescent="0.25">
      <c r="A31" s="1">
        <v>44256</v>
      </c>
      <c r="B31" t="s">
        <v>27</v>
      </c>
      <c r="C31" t="s">
        <v>28</v>
      </c>
      <c r="D31" t="s">
        <v>29</v>
      </c>
      <c r="E31" t="s">
        <v>10</v>
      </c>
      <c r="F31" s="4">
        <v>44422</v>
      </c>
      <c r="G31" t="s">
        <v>43</v>
      </c>
      <c r="H31">
        <v>15000</v>
      </c>
      <c r="I31" s="4">
        <f>IF(F31&gt;=H31,F31*'All Sales'!$L$2,0)</f>
        <v>4442.2</v>
      </c>
    </row>
    <row r="32" spans="1:9" x14ac:dyDescent="0.25">
      <c r="A32" s="1">
        <v>44287</v>
      </c>
      <c r="B32" t="s">
        <v>68</v>
      </c>
      <c r="C32" t="s">
        <v>69</v>
      </c>
      <c r="D32" t="s">
        <v>70</v>
      </c>
      <c r="E32" t="s">
        <v>10</v>
      </c>
      <c r="F32" s="4">
        <v>7029.9</v>
      </c>
      <c r="G32" t="s">
        <v>43</v>
      </c>
      <c r="H32">
        <v>15000</v>
      </c>
      <c r="I32" s="4">
        <f>IF(F32&gt;=H32,F32*'All Sales'!$L$2,0)</f>
        <v>0</v>
      </c>
    </row>
    <row r="33" spans="1:9" x14ac:dyDescent="0.25">
      <c r="A33" s="1">
        <v>44287</v>
      </c>
      <c r="B33" t="s">
        <v>68</v>
      </c>
      <c r="C33" t="s">
        <v>69</v>
      </c>
      <c r="D33" t="s">
        <v>70</v>
      </c>
      <c r="E33" t="s">
        <v>10</v>
      </c>
      <c r="F33" s="4">
        <v>11914.400000000001</v>
      </c>
      <c r="G33" t="s">
        <v>15</v>
      </c>
      <c r="H33">
        <v>15000</v>
      </c>
      <c r="I33" s="4">
        <f>IF(F33&gt;=H33,F33*'All Sales'!$L$2,0)</f>
        <v>0</v>
      </c>
    </row>
    <row r="34" spans="1:9" x14ac:dyDescent="0.25">
      <c r="A34" s="1">
        <v>44287</v>
      </c>
      <c r="B34" t="s">
        <v>7</v>
      </c>
      <c r="C34" t="s">
        <v>8</v>
      </c>
      <c r="D34" t="s">
        <v>9</v>
      </c>
      <c r="E34" t="s">
        <v>10</v>
      </c>
      <c r="F34" s="4">
        <v>15919.7</v>
      </c>
      <c r="G34" t="s">
        <v>11</v>
      </c>
      <c r="H34">
        <v>15000</v>
      </c>
      <c r="I34" s="4">
        <f>IF(F34&gt;=H34,F34*'All Sales'!$L$2,0)</f>
        <v>1591.9700000000003</v>
      </c>
    </row>
    <row r="35" spans="1:9" x14ac:dyDescent="0.25">
      <c r="A35" s="1">
        <v>44287</v>
      </c>
      <c r="B35" t="s">
        <v>16</v>
      </c>
      <c r="C35" t="s">
        <v>17</v>
      </c>
      <c r="D35" t="s">
        <v>18</v>
      </c>
      <c r="E35" t="s">
        <v>10</v>
      </c>
      <c r="F35" s="4">
        <v>17776</v>
      </c>
      <c r="G35" t="s">
        <v>43</v>
      </c>
      <c r="H35">
        <v>15000</v>
      </c>
      <c r="I35" s="4">
        <f>IF(F35&gt;=H35,F35*'All Sales'!$L$2,0)</f>
        <v>1777.6000000000001</v>
      </c>
    </row>
    <row r="36" spans="1:9" x14ac:dyDescent="0.25">
      <c r="A36" s="1">
        <v>44287</v>
      </c>
      <c r="B36" t="s">
        <v>27</v>
      </c>
      <c r="C36" t="s">
        <v>28</v>
      </c>
      <c r="D36" t="s">
        <v>29</v>
      </c>
      <c r="E36" t="s">
        <v>10</v>
      </c>
      <c r="F36" s="4">
        <v>36666</v>
      </c>
      <c r="G36" t="s">
        <v>15</v>
      </c>
      <c r="H36">
        <v>15000</v>
      </c>
      <c r="I36" s="4">
        <f>IF(F36&gt;=H36,F36*'All Sales'!$L$2,0)</f>
        <v>3666.6000000000004</v>
      </c>
    </row>
    <row r="37" spans="1:9" x14ac:dyDescent="0.25">
      <c r="A37" s="1">
        <v>44287</v>
      </c>
      <c r="B37" t="s">
        <v>16</v>
      </c>
      <c r="C37" t="s">
        <v>17</v>
      </c>
      <c r="D37" t="s">
        <v>18</v>
      </c>
      <c r="E37" t="s">
        <v>10</v>
      </c>
      <c r="F37" s="4">
        <v>38227.699999999997</v>
      </c>
      <c r="G37" t="s">
        <v>11</v>
      </c>
      <c r="H37">
        <v>15000</v>
      </c>
      <c r="I37" s="4">
        <f>IF(F37&gt;=H37,F37*'All Sales'!$L$2,0)</f>
        <v>3822.77</v>
      </c>
    </row>
    <row r="38" spans="1:9" x14ac:dyDescent="0.25">
      <c r="A38" s="1">
        <v>44287</v>
      </c>
      <c r="B38" t="s">
        <v>16</v>
      </c>
      <c r="C38" t="s">
        <v>17</v>
      </c>
      <c r="D38" t="s">
        <v>18</v>
      </c>
      <c r="E38" t="s">
        <v>10</v>
      </c>
      <c r="F38" s="4">
        <v>51531.199999999997</v>
      </c>
      <c r="G38" t="s">
        <v>43</v>
      </c>
      <c r="H38">
        <v>15000</v>
      </c>
      <c r="I38" s="4">
        <f>IF(F38&gt;=H38,F38*'All Sales'!$L$2,0)</f>
        <v>5153.12</v>
      </c>
    </row>
    <row r="39" spans="1:9" x14ac:dyDescent="0.25">
      <c r="A39" s="1">
        <v>44317</v>
      </c>
      <c r="B39" t="s">
        <v>12</v>
      </c>
      <c r="C39" t="s">
        <v>13</v>
      </c>
      <c r="D39" t="s">
        <v>14</v>
      </c>
      <c r="E39" t="s">
        <v>10</v>
      </c>
      <c r="F39" s="4">
        <v>8686.6</v>
      </c>
      <c r="G39" t="s">
        <v>15</v>
      </c>
      <c r="H39">
        <v>15000</v>
      </c>
      <c r="I39" s="4">
        <f>IF(F39&gt;=H39,F39*'All Sales'!$L$2,0)</f>
        <v>0</v>
      </c>
    </row>
    <row r="40" spans="1:9" x14ac:dyDescent="0.25">
      <c r="A40" s="1">
        <v>44317</v>
      </c>
      <c r="B40" t="s">
        <v>16</v>
      </c>
      <c r="C40" t="s">
        <v>17</v>
      </c>
      <c r="D40" t="s">
        <v>18</v>
      </c>
      <c r="E40" t="s">
        <v>10</v>
      </c>
      <c r="F40" s="4">
        <v>12422.2</v>
      </c>
      <c r="G40" t="s">
        <v>43</v>
      </c>
      <c r="H40">
        <v>15000</v>
      </c>
      <c r="I40" s="4">
        <f>IF(F40&gt;=H40,F40*'All Sales'!$L$2,0)</f>
        <v>0</v>
      </c>
    </row>
    <row r="41" spans="1:9" x14ac:dyDescent="0.25">
      <c r="A41" s="1">
        <v>44317</v>
      </c>
      <c r="B41" t="s">
        <v>27</v>
      </c>
      <c r="C41" t="s">
        <v>28</v>
      </c>
      <c r="D41" t="s">
        <v>29</v>
      </c>
      <c r="E41" t="s">
        <v>10</v>
      </c>
      <c r="F41" s="4">
        <v>15120</v>
      </c>
      <c r="G41" t="s">
        <v>15</v>
      </c>
      <c r="H41">
        <v>15000</v>
      </c>
      <c r="I41" s="4">
        <f>IF(F41&gt;=H41,F41*'All Sales'!$L$2,0)</f>
        <v>1512</v>
      </c>
    </row>
    <row r="42" spans="1:9" x14ac:dyDescent="0.25">
      <c r="A42" s="1">
        <v>44317</v>
      </c>
      <c r="B42" t="s">
        <v>12</v>
      </c>
      <c r="C42" t="s">
        <v>13</v>
      </c>
      <c r="D42" t="s">
        <v>14</v>
      </c>
      <c r="E42" t="s">
        <v>10</v>
      </c>
      <c r="F42" s="4">
        <v>16604.400000000001</v>
      </c>
      <c r="G42" t="s">
        <v>43</v>
      </c>
      <c r="H42">
        <v>15000</v>
      </c>
      <c r="I42" s="4">
        <f>IF(F42&gt;=H42,F42*'All Sales'!$L$2,0)</f>
        <v>1660.4400000000003</v>
      </c>
    </row>
    <row r="43" spans="1:9" x14ac:dyDescent="0.25">
      <c r="A43" s="1">
        <v>44317</v>
      </c>
      <c r="B43" t="s">
        <v>16</v>
      </c>
      <c r="C43" t="s">
        <v>17</v>
      </c>
      <c r="D43" t="s">
        <v>18</v>
      </c>
      <c r="E43" t="s">
        <v>10</v>
      </c>
      <c r="F43" s="4">
        <v>19584</v>
      </c>
      <c r="G43" t="s">
        <v>15</v>
      </c>
      <c r="H43">
        <v>15000</v>
      </c>
      <c r="I43" s="4">
        <f>IF(F43&gt;=H43,F43*'All Sales'!$L$2,0)</f>
        <v>1958.4</v>
      </c>
    </row>
    <row r="44" spans="1:9" x14ac:dyDescent="0.25">
      <c r="A44" s="1">
        <v>44317</v>
      </c>
      <c r="B44" t="s">
        <v>7</v>
      </c>
      <c r="C44" t="s">
        <v>8</v>
      </c>
      <c r="D44" t="s">
        <v>9</v>
      </c>
      <c r="E44" t="s">
        <v>10</v>
      </c>
      <c r="F44" s="4">
        <v>26546.6</v>
      </c>
      <c r="G44" t="s">
        <v>15</v>
      </c>
      <c r="H44">
        <v>15000</v>
      </c>
      <c r="I44" s="4">
        <f>IF(F44&gt;=H44,F44*'All Sales'!$L$2,0)</f>
        <v>2654.66</v>
      </c>
    </row>
    <row r="45" spans="1:9" x14ac:dyDescent="0.25">
      <c r="A45" s="1">
        <v>44317</v>
      </c>
      <c r="B45" t="s">
        <v>7</v>
      </c>
      <c r="C45" t="s">
        <v>8</v>
      </c>
      <c r="D45" t="s">
        <v>9</v>
      </c>
      <c r="E45" t="s">
        <v>10</v>
      </c>
      <c r="F45" s="4">
        <v>31200</v>
      </c>
      <c r="G45" t="s">
        <v>15</v>
      </c>
      <c r="H45">
        <v>15000</v>
      </c>
      <c r="I45" s="4">
        <f>IF(F45&gt;=H45,F45*'All Sales'!$L$2,0)</f>
        <v>3120</v>
      </c>
    </row>
    <row r="46" spans="1:9" x14ac:dyDescent="0.25">
      <c r="A46" s="1">
        <v>44348</v>
      </c>
      <c r="B46" t="s">
        <v>7</v>
      </c>
      <c r="C46" t="s">
        <v>8</v>
      </c>
      <c r="D46" t="s">
        <v>9</v>
      </c>
      <c r="E46" t="s">
        <v>10</v>
      </c>
      <c r="F46" s="4">
        <v>2070.2999999999997</v>
      </c>
      <c r="G46" t="s">
        <v>11</v>
      </c>
      <c r="H46">
        <v>15000</v>
      </c>
      <c r="I46" s="4">
        <f>IF(F46&gt;=H46,F46*'All Sales'!$L$2,0)</f>
        <v>0</v>
      </c>
    </row>
    <row r="47" spans="1:9" x14ac:dyDescent="0.25">
      <c r="A47" s="1">
        <v>44348</v>
      </c>
      <c r="B47" t="s">
        <v>16</v>
      </c>
      <c r="C47" t="s">
        <v>17</v>
      </c>
      <c r="D47" t="s">
        <v>18</v>
      </c>
      <c r="E47" t="s">
        <v>10</v>
      </c>
      <c r="F47" s="4">
        <v>9499</v>
      </c>
      <c r="G47" t="s">
        <v>15</v>
      </c>
      <c r="H47">
        <v>15000</v>
      </c>
      <c r="I47" s="4">
        <f>IF(F47&gt;=H47,F47*'All Sales'!$L$2,0)</f>
        <v>0</v>
      </c>
    </row>
    <row r="48" spans="1:9" x14ac:dyDescent="0.25">
      <c r="A48" s="1">
        <v>44348</v>
      </c>
      <c r="B48" t="s">
        <v>16</v>
      </c>
      <c r="C48" t="s">
        <v>17</v>
      </c>
      <c r="D48" t="s">
        <v>18</v>
      </c>
      <c r="E48" t="s">
        <v>10</v>
      </c>
      <c r="F48" s="4">
        <v>17904.7</v>
      </c>
      <c r="G48" t="s">
        <v>43</v>
      </c>
      <c r="H48">
        <v>15000</v>
      </c>
      <c r="I48" s="4">
        <f>IF(F48&gt;=H48,F48*'All Sales'!$L$2,0)</f>
        <v>1790.4700000000003</v>
      </c>
    </row>
    <row r="49" spans="1:9" x14ac:dyDescent="0.25">
      <c r="A49" s="1">
        <v>44348</v>
      </c>
      <c r="B49" t="s">
        <v>16</v>
      </c>
      <c r="C49" t="s">
        <v>17</v>
      </c>
      <c r="D49" t="s">
        <v>18</v>
      </c>
      <c r="E49" t="s">
        <v>10</v>
      </c>
      <c r="F49" s="4">
        <v>18878.399999999998</v>
      </c>
      <c r="G49" t="s">
        <v>15</v>
      </c>
      <c r="H49">
        <v>15000</v>
      </c>
      <c r="I49" s="4">
        <f>IF(F49&gt;=H49,F49*'All Sales'!$L$2,0)</f>
        <v>1887.84</v>
      </c>
    </row>
    <row r="50" spans="1:9" x14ac:dyDescent="0.25">
      <c r="A50" s="1">
        <v>44348</v>
      </c>
      <c r="B50" t="s">
        <v>16</v>
      </c>
      <c r="C50" t="s">
        <v>17</v>
      </c>
      <c r="D50" t="s">
        <v>18</v>
      </c>
      <c r="E50" t="s">
        <v>10</v>
      </c>
      <c r="F50" s="4">
        <v>23445</v>
      </c>
      <c r="G50" t="s">
        <v>15</v>
      </c>
      <c r="H50">
        <v>15000</v>
      </c>
      <c r="I50" s="4">
        <f>IF(F50&gt;=H50,F50*'All Sales'!$L$2,0)</f>
        <v>2344.5</v>
      </c>
    </row>
    <row r="51" spans="1:9" x14ac:dyDescent="0.25">
      <c r="A51" s="1">
        <v>44348</v>
      </c>
      <c r="B51" t="s">
        <v>16</v>
      </c>
      <c r="C51" t="s">
        <v>17</v>
      </c>
      <c r="D51" t="s">
        <v>18</v>
      </c>
      <c r="E51" t="s">
        <v>10</v>
      </c>
      <c r="F51" s="4">
        <v>34162</v>
      </c>
      <c r="G51" t="s">
        <v>15</v>
      </c>
      <c r="H51">
        <v>15000</v>
      </c>
      <c r="I51" s="4">
        <f>IF(F51&gt;=H51,F51*'All Sales'!$L$2,0)</f>
        <v>3416.2000000000003</v>
      </c>
    </row>
    <row r="52" spans="1:9" x14ac:dyDescent="0.25">
      <c r="A52" s="1">
        <v>44378</v>
      </c>
      <c r="B52" t="s">
        <v>16</v>
      </c>
      <c r="C52" t="s">
        <v>17</v>
      </c>
      <c r="D52" t="s">
        <v>18</v>
      </c>
      <c r="E52" t="s">
        <v>10</v>
      </c>
      <c r="F52" s="4">
        <v>3055.2</v>
      </c>
      <c r="G52" t="s">
        <v>11</v>
      </c>
      <c r="H52">
        <v>15000</v>
      </c>
      <c r="I52" s="4">
        <f>IF(F52&gt;=H52,F52*'All Sales'!$L$2,0)</f>
        <v>0</v>
      </c>
    </row>
    <row r="53" spans="1:9" x14ac:dyDescent="0.25">
      <c r="A53" s="1">
        <v>44378</v>
      </c>
      <c r="B53" t="s">
        <v>7</v>
      </c>
      <c r="C53" t="s">
        <v>8</v>
      </c>
      <c r="D53" t="s">
        <v>9</v>
      </c>
      <c r="E53" t="s">
        <v>10</v>
      </c>
      <c r="F53" s="4">
        <v>4843.4000000000005</v>
      </c>
      <c r="G53" t="s">
        <v>43</v>
      </c>
      <c r="H53">
        <v>15000</v>
      </c>
      <c r="I53" s="4">
        <f>IF(F53&gt;=H53,F53*'All Sales'!$L$2,0)</f>
        <v>0</v>
      </c>
    </row>
    <row r="54" spans="1:9" x14ac:dyDescent="0.25">
      <c r="A54" s="1">
        <v>44378</v>
      </c>
      <c r="B54" t="s">
        <v>12</v>
      </c>
      <c r="C54" t="s">
        <v>13</v>
      </c>
      <c r="D54" t="s">
        <v>14</v>
      </c>
      <c r="E54" t="s">
        <v>10</v>
      </c>
      <c r="F54" s="4">
        <v>5215.2</v>
      </c>
      <c r="G54" t="s">
        <v>43</v>
      </c>
      <c r="H54">
        <v>15000</v>
      </c>
      <c r="I54" s="4">
        <f>IF(F54&gt;=H54,F54*'All Sales'!$L$2,0)</f>
        <v>0</v>
      </c>
    </row>
    <row r="55" spans="1:9" x14ac:dyDescent="0.25">
      <c r="A55" s="1">
        <v>44378</v>
      </c>
      <c r="B55" t="s">
        <v>16</v>
      </c>
      <c r="C55" t="s">
        <v>17</v>
      </c>
      <c r="D55" t="s">
        <v>18</v>
      </c>
      <c r="E55" t="s">
        <v>10</v>
      </c>
      <c r="F55" s="4">
        <v>7199.7000000000007</v>
      </c>
      <c r="G55" t="s">
        <v>43</v>
      </c>
      <c r="H55">
        <v>15000</v>
      </c>
      <c r="I55" s="4">
        <f>IF(F55&gt;=H55,F55*'All Sales'!$L$2,0)</f>
        <v>0</v>
      </c>
    </row>
    <row r="56" spans="1:9" x14ac:dyDescent="0.25">
      <c r="A56" s="1">
        <v>44378</v>
      </c>
      <c r="B56" t="s">
        <v>68</v>
      </c>
      <c r="C56" t="s">
        <v>69</v>
      </c>
      <c r="D56" t="s">
        <v>70</v>
      </c>
      <c r="E56" t="s">
        <v>10</v>
      </c>
      <c r="F56" s="4">
        <v>14670</v>
      </c>
      <c r="G56" t="s">
        <v>11</v>
      </c>
      <c r="H56">
        <v>15000</v>
      </c>
      <c r="I56" s="4">
        <f>IF(F56&gt;=H56,F56*'All Sales'!$L$2,0)</f>
        <v>0</v>
      </c>
    </row>
    <row r="57" spans="1:9" x14ac:dyDescent="0.25">
      <c r="A57" s="1">
        <v>44378</v>
      </c>
      <c r="B57" t="s">
        <v>7</v>
      </c>
      <c r="C57" t="s">
        <v>8</v>
      </c>
      <c r="D57" t="s">
        <v>9</v>
      </c>
      <c r="E57" t="s">
        <v>10</v>
      </c>
      <c r="F57" s="4">
        <v>16614.400000000001</v>
      </c>
      <c r="G57" t="s">
        <v>11</v>
      </c>
      <c r="H57">
        <v>15000</v>
      </c>
      <c r="I57" s="4">
        <f>IF(F57&gt;=H57,F57*'All Sales'!$L$2,0)</f>
        <v>1661.4400000000003</v>
      </c>
    </row>
    <row r="58" spans="1:9" x14ac:dyDescent="0.25">
      <c r="A58" s="1">
        <v>44378</v>
      </c>
      <c r="B58" t="s">
        <v>68</v>
      </c>
      <c r="C58" t="s">
        <v>69</v>
      </c>
      <c r="D58" t="s">
        <v>70</v>
      </c>
      <c r="E58" t="s">
        <v>10</v>
      </c>
      <c r="F58" s="4">
        <v>20076.7</v>
      </c>
      <c r="G58" t="s">
        <v>43</v>
      </c>
      <c r="H58">
        <v>15000</v>
      </c>
      <c r="I58" s="4">
        <f>IF(F58&gt;=H58,F58*'All Sales'!$L$2,0)</f>
        <v>2007.67</v>
      </c>
    </row>
    <row r="59" spans="1:9" x14ac:dyDescent="0.25">
      <c r="A59" s="1">
        <v>44378</v>
      </c>
      <c r="B59" t="s">
        <v>16</v>
      </c>
      <c r="C59" t="s">
        <v>17</v>
      </c>
      <c r="D59" t="s">
        <v>18</v>
      </c>
      <c r="E59" t="s">
        <v>10</v>
      </c>
      <c r="F59" s="4">
        <v>21482.999999999996</v>
      </c>
      <c r="G59" t="s">
        <v>43</v>
      </c>
      <c r="H59">
        <v>15000</v>
      </c>
      <c r="I59" s="4">
        <f>IF(F59&gt;=H59,F59*'All Sales'!$L$2,0)</f>
        <v>2148.2999999999997</v>
      </c>
    </row>
    <row r="60" spans="1:9" x14ac:dyDescent="0.25">
      <c r="A60" s="1">
        <v>44378</v>
      </c>
      <c r="B60" t="s">
        <v>27</v>
      </c>
      <c r="C60" t="s">
        <v>28</v>
      </c>
      <c r="D60" t="s">
        <v>29</v>
      </c>
      <c r="E60" t="s">
        <v>10</v>
      </c>
      <c r="F60" s="4">
        <v>30776.799999999999</v>
      </c>
      <c r="G60" t="s">
        <v>11</v>
      </c>
      <c r="H60">
        <v>15000</v>
      </c>
      <c r="I60" s="4">
        <f>IF(F60&gt;=H60,F60*'All Sales'!$L$2,0)</f>
        <v>3077.6800000000003</v>
      </c>
    </row>
    <row r="61" spans="1:9" x14ac:dyDescent="0.25">
      <c r="A61" s="1">
        <v>44409</v>
      </c>
      <c r="B61" t="s">
        <v>68</v>
      </c>
      <c r="C61" t="s">
        <v>69</v>
      </c>
      <c r="D61" t="s">
        <v>70</v>
      </c>
      <c r="E61" t="s">
        <v>10</v>
      </c>
      <c r="F61" s="4">
        <v>8625</v>
      </c>
      <c r="G61" t="s">
        <v>15</v>
      </c>
      <c r="H61">
        <v>15000</v>
      </c>
      <c r="I61" s="4">
        <f>IF(F61&gt;=H61,F61*'All Sales'!$L$2,0)</f>
        <v>0</v>
      </c>
    </row>
    <row r="62" spans="1:9" x14ac:dyDescent="0.25">
      <c r="A62" s="1">
        <v>44409</v>
      </c>
      <c r="B62" t="s">
        <v>16</v>
      </c>
      <c r="C62" t="s">
        <v>17</v>
      </c>
      <c r="D62" t="s">
        <v>18</v>
      </c>
      <c r="E62" t="s">
        <v>10</v>
      </c>
      <c r="F62" s="4">
        <v>9794</v>
      </c>
      <c r="G62" t="s">
        <v>15</v>
      </c>
      <c r="H62">
        <v>15000</v>
      </c>
      <c r="I62" s="4">
        <f>IF(F62&gt;=H62,F62*'All Sales'!$L$2,0)</f>
        <v>0</v>
      </c>
    </row>
    <row r="63" spans="1:9" x14ac:dyDescent="0.25">
      <c r="A63" s="1">
        <v>44409</v>
      </c>
      <c r="B63" t="s">
        <v>68</v>
      </c>
      <c r="C63" t="s">
        <v>69</v>
      </c>
      <c r="D63" t="s">
        <v>70</v>
      </c>
      <c r="E63" t="s">
        <v>10</v>
      </c>
      <c r="F63" s="4">
        <v>16321.6</v>
      </c>
      <c r="G63" t="s">
        <v>11</v>
      </c>
      <c r="H63">
        <v>15000</v>
      </c>
      <c r="I63" s="4">
        <f>IF(F63&gt;=H63,F63*'All Sales'!$L$2,0)</f>
        <v>1632.16</v>
      </c>
    </row>
    <row r="64" spans="1:9" x14ac:dyDescent="0.25">
      <c r="A64" s="1">
        <v>44409</v>
      </c>
      <c r="B64" t="s">
        <v>16</v>
      </c>
      <c r="C64" t="s">
        <v>17</v>
      </c>
      <c r="D64" t="s">
        <v>18</v>
      </c>
      <c r="E64" t="s">
        <v>10</v>
      </c>
      <c r="F64" s="4">
        <v>19678.8</v>
      </c>
      <c r="G64" t="s">
        <v>15</v>
      </c>
      <c r="H64">
        <v>15000</v>
      </c>
      <c r="I64" s="4">
        <f>IF(F64&gt;=H64,F64*'All Sales'!$L$2,0)</f>
        <v>1967.88</v>
      </c>
    </row>
    <row r="65" spans="1:9" x14ac:dyDescent="0.25">
      <c r="A65" s="1">
        <v>44409</v>
      </c>
      <c r="B65" t="s">
        <v>68</v>
      </c>
      <c r="C65" t="s">
        <v>69</v>
      </c>
      <c r="D65" t="s">
        <v>70</v>
      </c>
      <c r="E65" t="s">
        <v>10</v>
      </c>
      <c r="F65" s="4">
        <v>33694.800000000003</v>
      </c>
      <c r="G65" t="s">
        <v>15</v>
      </c>
      <c r="H65">
        <v>15000</v>
      </c>
      <c r="I65" s="4">
        <f>IF(F65&gt;=H65,F65*'All Sales'!$L$2,0)</f>
        <v>3369.4800000000005</v>
      </c>
    </row>
    <row r="66" spans="1:9" x14ac:dyDescent="0.25">
      <c r="A66" s="1">
        <v>44409</v>
      </c>
      <c r="B66" t="s">
        <v>12</v>
      </c>
      <c r="C66" t="s">
        <v>13</v>
      </c>
      <c r="D66" t="s">
        <v>14</v>
      </c>
      <c r="E66" t="s">
        <v>10</v>
      </c>
      <c r="F66" s="4">
        <v>39236</v>
      </c>
      <c r="G66" t="s">
        <v>43</v>
      </c>
      <c r="H66">
        <v>15000</v>
      </c>
      <c r="I66" s="4">
        <f>IF(F66&gt;=H66,F66*'All Sales'!$L$2,0)</f>
        <v>3923.6000000000004</v>
      </c>
    </row>
    <row r="67" spans="1:9" x14ac:dyDescent="0.25">
      <c r="A67" s="1">
        <v>44409</v>
      </c>
      <c r="B67" t="s">
        <v>16</v>
      </c>
      <c r="C67" t="s">
        <v>17</v>
      </c>
      <c r="D67" t="s">
        <v>18</v>
      </c>
      <c r="E67" t="s">
        <v>10</v>
      </c>
      <c r="F67" s="4">
        <v>43088.2</v>
      </c>
      <c r="G67" t="s">
        <v>11</v>
      </c>
      <c r="H67">
        <v>15000</v>
      </c>
      <c r="I67" s="4">
        <f>IF(F67&gt;=H67,F67*'All Sales'!$L$2,0)</f>
        <v>4308.82</v>
      </c>
    </row>
    <row r="68" spans="1:9" x14ac:dyDescent="0.25">
      <c r="A68" s="1">
        <v>44440</v>
      </c>
      <c r="B68" t="s">
        <v>7</v>
      </c>
      <c r="C68" t="s">
        <v>8</v>
      </c>
      <c r="D68" t="s">
        <v>9</v>
      </c>
      <c r="E68" t="s">
        <v>10</v>
      </c>
      <c r="F68" s="4">
        <v>5572.3</v>
      </c>
      <c r="G68" t="s">
        <v>11</v>
      </c>
      <c r="H68">
        <v>15000</v>
      </c>
      <c r="I68" s="4">
        <f>IF(F68&gt;=H68,F68*'All Sales'!$L$2,0)</f>
        <v>0</v>
      </c>
    </row>
    <row r="69" spans="1:9" x14ac:dyDescent="0.25">
      <c r="A69" s="1">
        <v>44440</v>
      </c>
      <c r="B69" t="s">
        <v>16</v>
      </c>
      <c r="C69" t="s">
        <v>17</v>
      </c>
      <c r="D69" t="s">
        <v>18</v>
      </c>
      <c r="E69" t="s">
        <v>10</v>
      </c>
      <c r="F69" s="4">
        <v>7496.9999999999991</v>
      </c>
      <c r="G69" t="s">
        <v>15</v>
      </c>
      <c r="H69">
        <v>15000</v>
      </c>
      <c r="I69" s="4">
        <f>IF(F69&gt;=H69,F69*'All Sales'!$L$2,0)</f>
        <v>0</v>
      </c>
    </row>
    <row r="70" spans="1:9" x14ac:dyDescent="0.25">
      <c r="A70" s="1">
        <v>44440</v>
      </c>
      <c r="B70" t="s">
        <v>12</v>
      </c>
      <c r="C70" t="s">
        <v>13</v>
      </c>
      <c r="D70" t="s">
        <v>14</v>
      </c>
      <c r="E70" t="s">
        <v>10</v>
      </c>
      <c r="F70" s="4">
        <v>9651.1999999999989</v>
      </c>
      <c r="G70" t="s">
        <v>11</v>
      </c>
      <c r="H70">
        <v>15000</v>
      </c>
      <c r="I70" s="4">
        <f>IF(F70&gt;=H70,F70*'All Sales'!$L$2,0)</f>
        <v>0</v>
      </c>
    </row>
    <row r="71" spans="1:9" x14ac:dyDescent="0.25">
      <c r="A71" s="1">
        <v>44440</v>
      </c>
      <c r="B71" t="s">
        <v>7</v>
      </c>
      <c r="C71" t="s">
        <v>8</v>
      </c>
      <c r="D71" t="s">
        <v>9</v>
      </c>
      <c r="E71" t="s">
        <v>10</v>
      </c>
      <c r="F71" s="4">
        <v>10492.199999999997</v>
      </c>
      <c r="G71" t="s">
        <v>43</v>
      </c>
      <c r="H71">
        <v>15000</v>
      </c>
      <c r="I71" s="4">
        <f>IF(F71&gt;=H71,F71*'All Sales'!$L$2,0)</f>
        <v>0</v>
      </c>
    </row>
    <row r="72" spans="1:9" x14ac:dyDescent="0.25">
      <c r="A72" s="1">
        <v>44440</v>
      </c>
      <c r="B72" t="s">
        <v>7</v>
      </c>
      <c r="C72" t="s">
        <v>8</v>
      </c>
      <c r="D72" t="s">
        <v>9</v>
      </c>
      <c r="E72" t="s">
        <v>10</v>
      </c>
      <c r="F72" s="4">
        <v>18396.7</v>
      </c>
      <c r="G72" t="s">
        <v>11</v>
      </c>
      <c r="H72">
        <v>15000</v>
      </c>
      <c r="I72" s="4">
        <f>IF(F72&gt;=H72,F72*'All Sales'!$L$2,0)</f>
        <v>1839.67</v>
      </c>
    </row>
    <row r="73" spans="1:9" x14ac:dyDescent="0.25">
      <c r="A73" s="1">
        <v>44440</v>
      </c>
      <c r="B73" t="s">
        <v>12</v>
      </c>
      <c r="C73" t="s">
        <v>13</v>
      </c>
      <c r="D73" t="s">
        <v>14</v>
      </c>
      <c r="E73" t="s">
        <v>10</v>
      </c>
      <c r="F73" s="4">
        <v>23849.599999999999</v>
      </c>
      <c r="G73" t="s">
        <v>11</v>
      </c>
      <c r="H73">
        <v>15000</v>
      </c>
      <c r="I73" s="4">
        <f>IF(F73&gt;=H73,F73*'All Sales'!$L$2,0)</f>
        <v>2384.96</v>
      </c>
    </row>
    <row r="74" spans="1:9" x14ac:dyDescent="0.25">
      <c r="A74" s="1">
        <v>44440</v>
      </c>
      <c r="B74" t="s">
        <v>68</v>
      </c>
      <c r="C74" t="s">
        <v>69</v>
      </c>
      <c r="D74" t="s">
        <v>70</v>
      </c>
      <c r="E74" t="s">
        <v>10</v>
      </c>
      <c r="F74" s="4">
        <v>23882.399999999998</v>
      </c>
      <c r="G74" t="s">
        <v>43</v>
      </c>
      <c r="H74">
        <v>15000</v>
      </c>
      <c r="I74" s="4">
        <f>IF(F74&gt;=H74,F74*'All Sales'!$L$2,0)</f>
        <v>2388.2399999999998</v>
      </c>
    </row>
    <row r="75" spans="1:9" x14ac:dyDescent="0.25">
      <c r="A75" s="1">
        <v>44440</v>
      </c>
      <c r="B75" t="s">
        <v>12</v>
      </c>
      <c r="C75" t="s">
        <v>13</v>
      </c>
      <c r="D75" t="s">
        <v>14</v>
      </c>
      <c r="E75" t="s">
        <v>10</v>
      </c>
      <c r="F75" s="4">
        <v>34041.300000000003</v>
      </c>
      <c r="G75" t="s">
        <v>43</v>
      </c>
      <c r="H75">
        <v>15000</v>
      </c>
      <c r="I75" s="4">
        <f>IF(F75&gt;=H75,F75*'All Sales'!$L$2,0)</f>
        <v>3404.1300000000006</v>
      </c>
    </row>
    <row r="76" spans="1:9" x14ac:dyDescent="0.25">
      <c r="A76" s="1">
        <v>44470</v>
      </c>
      <c r="B76" t="s">
        <v>27</v>
      </c>
      <c r="C76" t="s">
        <v>28</v>
      </c>
      <c r="D76" t="s">
        <v>29</v>
      </c>
      <c r="E76" t="s">
        <v>10</v>
      </c>
      <c r="F76" s="4">
        <v>3243.6000000000004</v>
      </c>
      <c r="G76" t="s">
        <v>11</v>
      </c>
      <c r="H76">
        <v>15000</v>
      </c>
      <c r="I76" s="4">
        <f>IF(F76&gt;=H76,F76*'All Sales'!$L$2,0)</f>
        <v>0</v>
      </c>
    </row>
    <row r="77" spans="1:9" x14ac:dyDescent="0.25">
      <c r="A77" s="1">
        <v>44470</v>
      </c>
      <c r="B77" t="s">
        <v>16</v>
      </c>
      <c r="C77" t="s">
        <v>17</v>
      </c>
      <c r="D77" t="s">
        <v>18</v>
      </c>
      <c r="E77" t="s">
        <v>10</v>
      </c>
      <c r="F77" s="4">
        <v>12633.599999999999</v>
      </c>
      <c r="G77" t="s">
        <v>15</v>
      </c>
      <c r="H77">
        <v>15000</v>
      </c>
      <c r="I77" s="4">
        <f>IF(F77&gt;=H77,F77*'All Sales'!$L$2,0)</f>
        <v>0</v>
      </c>
    </row>
    <row r="78" spans="1:9" x14ac:dyDescent="0.25">
      <c r="A78" s="1">
        <v>44470</v>
      </c>
      <c r="B78" t="s">
        <v>27</v>
      </c>
      <c r="C78" t="s">
        <v>28</v>
      </c>
      <c r="D78" t="s">
        <v>29</v>
      </c>
      <c r="E78" t="s">
        <v>10</v>
      </c>
      <c r="F78" s="4">
        <v>12806.399999999998</v>
      </c>
      <c r="G78" t="s">
        <v>43</v>
      </c>
      <c r="H78">
        <v>15000</v>
      </c>
      <c r="I78" s="4">
        <f>IF(F78&gt;=H78,F78*'All Sales'!$L$2,0)</f>
        <v>0</v>
      </c>
    </row>
    <row r="79" spans="1:9" x14ac:dyDescent="0.25">
      <c r="A79" s="1">
        <v>44470</v>
      </c>
      <c r="B79" t="s">
        <v>12</v>
      </c>
      <c r="C79" t="s">
        <v>13</v>
      </c>
      <c r="D79" t="s">
        <v>14</v>
      </c>
      <c r="E79" t="s">
        <v>10</v>
      </c>
      <c r="F79" s="4">
        <v>20031.199999999997</v>
      </c>
      <c r="G79" t="s">
        <v>43</v>
      </c>
      <c r="H79">
        <v>15000</v>
      </c>
      <c r="I79" s="4">
        <f>IF(F79&gt;=H79,F79*'All Sales'!$L$2,0)</f>
        <v>2003.12</v>
      </c>
    </row>
    <row r="80" spans="1:9" x14ac:dyDescent="0.25">
      <c r="A80" s="1">
        <v>44470</v>
      </c>
      <c r="B80" t="s">
        <v>7</v>
      </c>
      <c r="C80" t="s">
        <v>8</v>
      </c>
      <c r="D80" t="s">
        <v>9</v>
      </c>
      <c r="E80" t="s">
        <v>10</v>
      </c>
      <c r="F80" s="4">
        <v>21485.200000000001</v>
      </c>
      <c r="G80" t="s">
        <v>15</v>
      </c>
      <c r="H80">
        <v>15000</v>
      </c>
      <c r="I80" s="4">
        <f>IF(F80&gt;=H80,F80*'All Sales'!$L$2,0)</f>
        <v>2148.52</v>
      </c>
    </row>
    <row r="81" spans="1:9" x14ac:dyDescent="0.25">
      <c r="A81" s="1">
        <v>44470</v>
      </c>
      <c r="B81" t="s">
        <v>68</v>
      </c>
      <c r="C81" t="s">
        <v>69</v>
      </c>
      <c r="D81" t="s">
        <v>70</v>
      </c>
      <c r="E81" t="s">
        <v>10</v>
      </c>
      <c r="F81" s="4">
        <v>22607.200000000004</v>
      </c>
      <c r="G81" t="s">
        <v>11</v>
      </c>
      <c r="H81">
        <v>15000</v>
      </c>
      <c r="I81" s="4">
        <f>IF(F81&gt;=H81,F81*'All Sales'!$L$2,0)</f>
        <v>2260.7200000000007</v>
      </c>
    </row>
    <row r="82" spans="1:9" x14ac:dyDescent="0.25">
      <c r="A82" s="1">
        <v>44501</v>
      </c>
      <c r="B82" t="s">
        <v>12</v>
      </c>
      <c r="C82" t="s">
        <v>13</v>
      </c>
      <c r="D82" t="s">
        <v>14</v>
      </c>
      <c r="E82" t="s">
        <v>10</v>
      </c>
      <c r="F82" s="4">
        <v>5130</v>
      </c>
      <c r="G82" t="s">
        <v>15</v>
      </c>
      <c r="H82">
        <v>15000</v>
      </c>
      <c r="I82" s="4">
        <f>IF(F82&gt;=H82,F82*'All Sales'!$L$2,0)</f>
        <v>0</v>
      </c>
    </row>
    <row r="83" spans="1:9" x14ac:dyDescent="0.25">
      <c r="A83" s="1">
        <v>44501</v>
      </c>
      <c r="B83" t="s">
        <v>7</v>
      </c>
      <c r="C83" t="s">
        <v>8</v>
      </c>
      <c r="D83" t="s">
        <v>9</v>
      </c>
      <c r="E83" t="s">
        <v>10</v>
      </c>
      <c r="F83" s="4">
        <v>8810.9</v>
      </c>
      <c r="G83" t="s">
        <v>11</v>
      </c>
      <c r="H83">
        <v>15000</v>
      </c>
      <c r="I83" s="4">
        <f>IF(F83&gt;=H83,F83*'All Sales'!$L$2,0)</f>
        <v>0</v>
      </c>
    </row>
    <row r="84" spans="1:9" x14ac:dyDescent="0.25">
      <c r="A84" s="1">
        <v>44501</v>
      </c>
      <c r="B84" t="s">
        <v>27</v>
      </c>
      <c r="C84" t="s">
        <v>28</v>
      </c>
      <c r="D84" t="s">
        <v>29</v>
      </c>
      <c r="E84" t="s">
        <v>10</v>
      </c>
      <c r="F84" s="4">
        <v>16606</v>
      </c>
      <c r="G84" t="s">
        <v>11</v>
      </c>
      <c r="H84">
        <v>15000</v>
      </c>
      <c r="I84" s="4">
        <f>IF(F84&gt;=H84,F84*'All Sales'!$L$2,0)</f>
        <v>1660.6000000000001</v>
      </c>
    </row>
    <row r="85" spans="1:9" x14ac:dyDescent="0.25">
      <c r="A85" s="1">
        <v>44501</v>
      </c>
      <c r="B85" t="s">
        <v>12</v>
      </c>
      <c r="C85" t="s">
        <v>13</v>
      </c>
      <c r="D85" t="s">
        <v>14</v>
      </c>
      <c r="E85" t="s">
        <v>10</v>
      </c>
      <c r="F85" s="4">
        <v>17766</v>
      </c>
      <c r="G85" t="s">
        <v>11</v>
      </c>
      <c r="H85">
        <v>15000</v>
      </c>
      <c r="I85" s="4">
        <f>IF(F85&gt;=H85,F85*'All Sales'!$L$2,0)</f>
        <v>1776.6000000000001</v>
      </c>
    </row>
    <row r="86" spans="1:9" x14ac:dyDescent="0.25">
      <c r="A86" s="1">
        <v>44501</v>
      </c>
      <c r="B86" t="s">
        <v>16</v>
      </c>
      <c r="C86" t="s">
        <v>17</v>
      </c>
      <c r="D86" t="s">
        <v>18</v>
      </c>
      <c r="E86" t="s">
        <v>10</v>
      </c>
      <c r="F86" s="4">
        <v>20916</v>
      </c>
      <c r="G86" t="s">
        <v>11</v>
      </c>
      <c r="H86">
        <v>15000</v>
      </c>
      <c r="I86" s="4">
        <f>IF(F86&gt;=H86,F86*'All Sales'!$L$2,0)</f>
        <v>2091.6</v>
      </c>
    </row>
    <row r="87" spans="1:9" x14ac:dyDescent="0.25">
      <c r="A87" s="1">
        <v>44501</v>
      </c>
      <c r="B87" t="s">
        <v>16</v>
      </c>
      <c r="C87" t="s">
        <v>17</v>
      </c>
      <c r="D87" t="s">
        <v>18</v>
      </c>
      <c r="E87" t="s">
        <v>10</v>
      </c>
      <c r="F87" s="4">
        <v>22396.5</v>
      </c>
      <c r="G87" t="s">
        <v>43</v>
      </c>
      <c r="H87">
        <v>15000</v>
      </c>
      <c r="I87" s="4">
        <f>IF(F87&gt;=H87,F87*'All Sales'!$L$2,0)</f>
        <v>2239.65</v>
      </c>
    </row>
    <row r="88" spans="1:9" x14ac:dyDescent="0.25">
      <c r="A88" s="1">
        <v>44501</v>
      </c>
      <c r="B88" t="s">
        <v>12</v>
      </c>
      <c r="C88" t="s">
        <v>13</v>
      </c>
      <c r="D88" t="s">
        <v>14</v>
      </c>
      <c r="E88" t="s">
        <v>10</v>
      </c>
      <c r="F88" s="4">
        <v>25633.5</v>
      </c>
      <c r="G88" t="s">
        <v>15</v>
      </c>
      <c r="H88">
        <v>15000</v>
      </c>
      <c r="I88" s="4">
        <f>IF(F88&gt;=H88,F88*'All Sales'!$L$2,0)</f>
        <v>2563.3500000000004</v>
      </c>
    </row>
    <row r="89" spans="1:9" x14ac:dyDescent="0.25">
      <c r="A89" s="1">
        <v>44501</v>
      </c>
      <c r="B89" t="s">
        <v>16</v>
      </c>
      <c r="C89" t="s">
        <v>17</v>
      </c>
      <c r="D89" t="s">
        <v>18</v>
      </c>
      <c r="E89" t="s">
        <v>10</v>
      </c>
      <c r="F89" s="4">
        <v>37374.399999999994</v>
      </c>
      <c r="G89" t="s">
        <v>43</v>
      </c>
      <c r="H89">
        <v>15000</v>
      </c>
      <c r="I89" s="4">
        <f>IF(F89&gt;=H89,F89*'All Sales'!$L$2,0)</f>
        <v>3737.4399999999996</v>
      </c>
    </row>
    <row r="90" spans="1:9" x14ac:dyDescent="0.25">
      <c r="A90" s="1">
        <v>44531</v>
      </c>
      <c r="B90" t="s">
        <v>12</v>
      </c>
      <c r="C90" t="s">
        <v>13</v>
      </c>
      <c r="D90" t="s">
        <v>14</v>
      </c>
      <c r="E90" t="s">
        <v>10</v>
      </c>
      <c r="F90" s="4">
        <v>3817.9999999999995</v>
      </c>
      <c r="G90" t="s">
        <v>11</v>
      </c>
      <c r="H90">
        <v>15000</v>
      </c>
      <c r="I90" s="4">
        <f>IF(F90&gt;=H90,F90*'All Sales'!$L$2,0)</f>
        <v>0</v>
      </c>
    </row>
    <row r="91" spans="1:9" x14ac:dyDescent="0.25">
      <c r="A91" s="1">
        <v>44531</v>
      </c>
      <c r="B91" t="s">
        <v>16</v>
      </c>
      <c r="C91" t="s">
        <v>17</v>
      </c>
      <c r="D91" t="s">
        <v>18</v>
      </c>
      <c r="E91" t="s">
        <v>10</v>
      </c>
      <c r="F91" s="4">
        <v>8683.1999999999989</v>
      </c>
      <c r="G91" t="s">
        <v>15</v>
      </c>
      <c r="H91">
        <v>15000</v>
      </c>
      <c r="I91" s="4">
        <f>IF(F91&gt;=H91,F91*'All Sales'!$L$2,0)</f>
        <v>0</v>
      </c>
    </row>
    <row r="92" spans="1:9" x14ac:dyDescent="0.25">
      <c r="A92" s="1">
        <v>44531</v>
      </c>
      <c r="B92" t="s">
        <v>7</v>
      </c>
      <c r="C92" t="s">
        <v>8</v>
      </c>
      <c r="D92" t="s">
        <v>9</v>
      </c>
      <c r="E92" t="s">
        <v>10</v>
      </c>
      <c r="F92" s="4">
        <v>11210</v>
      </c>
      <c r="G92" t="s">
        <v>43</v>
      </c>
      <c r="H92">
        <v>15000</v>
      </c>
      <c r="I92" s="4">
        <f>IF(F92&gt;=H92,F92*'All Sales'!$L$2,0)</f>
        <v>0</v>
      </c>
    </row>
    <row r="93" spans="1:9" x14ac:dyDescent="0.25">
      <c r="A93" s="1">
        <v>44531</v>
      </c>
      <c r="B93" t="s">
        <v>27</v>
      </c>
      <c r="C93" t="s">
        <v>28</v>
      </c>
      <c r="D93" t="s">
        <v>29</v>
      </c>
      <c r="E93" t="s">
        <v>10</v>
      </c>
      <c r="F93" s="4">
        <v>12765.2</v>
      </c>
      <c r="G93" t="s">
        <v>43</v>
      </c>
      <c r="H93">
        <v>15000</v>
      </c>
      <c r="I93" s="4">
        <f>IF(F93&gt;=H93,F93*'All Sales'!$L$2,0)</f>
        <v>0</v>
      </c>
    </row>
    <row r="94" spans="1:9" x14ac:dyDescent="0.25">
      <c r="A94" s="1">
        <v>44531</v>
      </c>
      <c r="B94" t="s">
        <v>12</v>
      </c>
      <c r="C94" t="s">
        <v>13</v>
      </c>
      <c r="D94" t="s">
        <v>14</v>
      </c>
      <c r="E94" t="s">
        <v>10</v>
      </c>
      <c r="F94" s="4">
        <v>15921.999999999998</v>
      </c>
      <c r="G94" t="s">
        <v>43</v>
      </c>
      <c r="H94">
        <v>15000</v>
      </c>
      <c r="I94" s="4">
        <f>IF(F94&gt;=H94,F94*'All Sales'!$L$2,0)</f>
        <v>1592.1999999999998</v>
      </c>
    </row>
    <row r="95" spans="1:9" x14ac:dyDescent="0.25">
      <c r="A95" s="1">
        <v>44531</v>
      </c>
      <c r="B95" t="s">
        <v>27</v>
      </c>
      <c r="C95" t="s">
        <v>28</v>
      </c>
      <c r="D95" t="s">
        <v>29</v>
      </c>
      <c r="E95" t="s">
        <v>10</v>
      </c>
      <c r="F95" s="4">
        <v>31970.799999999999</v>
      </c>
      <c r="G95" t="s">
        <v>11</v>
      </c>
      <c r="H95">
        <v>15000</v>
      </c>
      <c r="I95" s="4">
        <f>IF(F95&gt;=H95,F95*'All Sales'!$L$2,0)</f>
        <v>3197.08</v>
      </c>
    </row>
    <row r="96" spans="1:9" x14ac:dyDescent="0.25">
      <c r="A96" s="1">
        <v>44531</v>
      </c>
      <c r="B96" t="s">
        <v>7</v>
      </c>
      <c r="C96" t="s">
        <v>8</v>
      </c>
      <c r="D96" t="s">
        <v>9</v>
      </c>
      <c r="E96" t="s">
        <v>10</v>
      </c>
      <c r="F96" s="4">
        <v>41520</v>
      </c>
      <c r="G96" t="s">
        <v>11</v>
      </c>
      <c r="H96">
        <v>15000</v>
      </c>
      <c r="I96" s="4">
        <f>IF(F96&gt;=H96,F96*'All Sales'!$L$2,0)</f>
        <v>4152</v>
      </c>
    </row>
    <row r="97" spans="1:9" x14ac:dyDescent="0.25">
      <c r="A97" s="1">
        <v>44531</v>
      </c>
      <c r="B97" t="s">
        <v>7</v>
      </c>
      <c r="C97" t="s">
        <v>8</v>
      </c>
      <c r="D97" t="s">
        <v>9</v>
      </c>
      <c r="E97" t="s">
        <v>10</v>
      </c>
      <c r="F97" s="4">
        <v>45800.999999999993</v>
      </c>
      <c r="G97" t="s">
        <v>15</v>
      </c>
      <c r="H97">
        <v>15000</v>
      </c>
      <c r="I97" s="4">
        <f>IF(F97&gt;=H97,F97*'All Sales'!$L$2,0)</f>
        <v>4580.0999999999995</v>
      </c>
    </row>
  </sheetData>
  <autoFilter ref="A1:I97" xr:uid="{26F581F6-FD31-4B9F-8149-C50E5F71A245}"/>
  <conditionalFormatting sqref="F2:F97">
    <cfRule type="top10" dxfId="1" priority="1" rank="5"/>
  </conditionalFormatting>
  <hyperlinks>
    <hyperlink ref="P6" location="'Cover Page'!A1" display="Back to Cover Page" xr:uid="{38EF07A4-BF7A-4B49-AECA-554B852869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9432-7D1B-4904-B0DE-3566441835BD}">
  <dimension ref="A1:P197"/>
  <sheetViews>
    <sheetView zoomScale="85" zoomScaleNormal="85" workbookViewId="0">
      <selection activeCell="I2" sqref="I2"/>
    </sheetView>
  </sheetViews>
  <sheetFormatPr defaultRowHeight="15" x14ac:dyDescent="0.25"/>
  <cols>
    <col min="1" max="1" width="11.5703125" customWidth="1"/>
    <col min="2" max="2" width="16" bestFit="1" customWidth="1"/>
    <col min="3" max="3" width="13.140625" bestFit="1" customWidth="1"/>
    <col min="4" max="4" width="12.140625" customWidth="1"/>
    <col min="5" max="5" width="10.42578125" customWidth="1"/>
    <col min="6" max="6" width="15.7109375" customWidth="1"/>
    <col min="7" max="7" width="13.140625" customWidth="1"/>
    <col min="9" max="9" width="13.5703125" customWidth="1"/>
    <col min="11" max="11" width="18.140625" customWidth="1"/>
    <col min="12" max="13" width="11.28515625" bestFit="1" customWidth="1"/>
    <col min="14" max="16" width="11.8554687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74</v>
      </c>
      <c r="I1" s="2" t="s">
        <v>75</v>
      </c>
    </row>
    <row r="2" spans="1:16" x14ac:dyDescent="0.25">
      <c r="A2" s="1">
        <v>44197</v>
      </c>
      <c r="B2" t="s">
        <v>65</v>
      </c>
      <c r="C2" t="s">
        <v>66</v>
      </c>
      <c r="D2" t="s">
        <v>67</v>
      </c>
      <c r="E2" t="s">
        <v>22</v>
      </c>
      <c r="F2" s="4">
        <v>3637.21</v>
      </c>
      <c r="G2" t="s">
        <v>11</v>
      </c>
      <c r="H2">
        <v>15000</v>
      </c>
      <c r="I2" s="4">
        <f>IF(F2&gt;=H2,F2*'All Sales'!$L$2,0)</f>
        <v>0</v>
      </c>
    </row>
    <row r="3" spans="1:16" x14ac:dyDescent="0.25">
      <c r="A3" s="1">
        <v>44197</v>
      </c>
      <c r="B3" t="s">
        <v>44</v>
      </c>
      <c r="C3" t="s">
        <v>45</v>
      </c>
      <c r="D3" t="s">
        <v>46</v>
      </c>
      <c r="E3" t="s">
        <v>22</v>
      </c>
      <c r="F3" s="4">
        <v>3918.6</v>
      </c>
      <c r="G3" t="s">
        <v>15</v>
      </c>
      <c r="H3">
        <v>15000</v>
      </c>
      <c r="I3" s="4">
        <f>IF(F3&gt;=H3,F3*'All Sales'!$L$2,0)</f>
        <v>0</v>
      </c>
      <c r="K3" s="6" t="s">
        <v>77</v>
      </c>
      <c r="L3" s="5" t="str" cm="1">
        <f t="array" ref="L3:P3">TRANSPOSE(_xlfn.UNIQUE(_xlfn._xlws.SORT(C2:C197)))</f>
        <v>Ally</v>
      </c>
      <c r="M3" s="5" t="str">
        <v>Josh</v>
      </c>
      <c r="N3" s="5" t="str">
        <v>Nina</v>
      </c>
      <c r="O3" s="5" t="str">
        <v>Spencer</v>
      </c>
      <c r="P3" s="5" t="str">
        <v>Tia</v>
      </c>
    </row>
    <row r="4" spans="1:16" x14ac:dyDescent="0.25">
      <c r="A4" s="1">
        <v>44197</v>
      </c>
      <c r="B4" t="s">
        <v>19</v>
      </c>
      <c r="C4" t="s">
        <v>20</v>
      </c>
      <c r="D4" t="s">
        <v>21</v>
      </c>
      <c r="E4" t="s">
        <v>22</v>
      </c>
      <c r="F4" s="4">
        <v>694.54</v>
      </c>
      <c r="G4" t="s">
        <v>43</v>
      </c>
      <c r="H4">
        <v>15000</v>
      </c>
      <c r="I4" s="4">
        <f>IF(F4&gt;=H4,F4*'All Sales'!$L$2,0)</f>
        <v>0</v>
      </c>
      <c r="K4" s="7" t="s">
        <v>78</v>
      </c>
      <c r="L4" s="8" cm="1">
        <f t="array" ref="L4:P4">SUMIFS($F$2:$F$197,$C$2:$C$197,_xlfn.ANCHORARRAY(L3))</f>
        <v>466269.1</v>
      </c>
      <c r="M4" s="8">
        <v>447097.75000000012</v>
      </c>
      <c r="N4" s="8">
        <v>297695.09000000003</v>
      </c>
      <c r="O4" s="8">
        <v>427071.25999999995</v>
      </c>
      <c r="P4" s="8">
        <v>256493.49000000002</v>
      </c>
    </row>
    <row r="5" spans="1:16" x14ac:dyDescent="0.25">
      <c r="A5" s="1">
        <v>44197</v>
      </c>
      <c r="B5" t="s">
        <v>65</v>
      </c>
      <c r="C5" t="s">
        <v>66</v>
      </c>
      <c r="D5" t="s">
        <v>67</v>
      </c>
      <c r="E5" t="s">
        <v>22</v>
      </c>
      <c r="F5" s="4">
        <v>3112.72</v>
      </c>
      <c r="G5" t="s">
        <v>43</v>
      </c>
      <c r="H5">
        <v>15000</v>
      </c>
      <c r="I5" s="4">
        <f>IF(F5&gt;=H5,F5*'All Sales'!$L$2,0)</f>
        <v>0</v>
      </c>
    </row>
    <row r="6" spans="1:16" x14ac:dyDescent="0.25">
      <c r="A6" s="1">
        <v>44197</v>
      </c>
      <c r="B6" t="s">
        <v>19</v>
      </c>
      <c r="C6" t="s">
        <v>20</v>
      </c>
      <c r="D6" t="s">
        <v>21</v>
      </c>
      <c r="E6" t="s">
        <v>22</v>
      </c>
      <c r="F6" s="4">
        <v>1001.92</v>
      </c>
      <c r="G6" t="s">
        <v>43</v>
      </c>
      <c r="H6">
        <v>15000</v>
      </c>
      <c r="I6" s="4">
        <f>IF(F6&gt;=H6,F6*'All Sales'!$L$2,0)</f>
        <v>0</v>
      </c>
      <c r="P6" s="12" t="s">
        <v>136</v>
      </c>
    </row>
    <row r="7" spans="1:16" x14ac:dyDescent="0.25">
      <c r="A7" s="1">
        <v>44197</v>
      </c>
      <c r="B7" t="s">
        <v>53</v>
      </c>
      <c r="C7" t="s">
        <v>54</v>
      </c>
      <c r="D7" t="s">
        <v>55</v>
      </c>
      <c r="E7" t="s">
        <v>22</v>
      </c>
      <c r="F7" s="4">
        <v>1638.5600000000002</v>
      </c>
      <c r="G7" t="s">
        <v>11</v>
      </c>
      <c r="H7">
        <v>15000</v>
      </c>
      <c r="I7" s="4">
        <f>IF(F7&gt;=H7,F7*'All Sales'!$L$2,0)</f>
        <v>0</v>
      </c>
    </row>
    <row r="8" spans="1:16" x14ac:dyDescent="0.25">
      <c r="A8" s="1">
        <v>44197</v>
      </c>
      <c r="B8" t="s">
        <v>44</v>
      </c>
      <c r="C8" t="s">
        <v>45</v>
      </c>
      <c r="D8" t="s">
        <v>46</v>
      </c>
      <c r="E8" t="s">
        <v>22</v>
      </c>
      <c r="F8" s="4">
        <v>1910.8</v>
      </c>
      <c r="G8" t="s">
        <v>15</v>
      </c>
      <c r="H8">
        <v>15000</v>
      </c>
      <c r="I8" s="4">
        <f>IF(F8&gt;=H8,F8*'All Sales'!$L$2,0)</f>
        <v>0</v>
      </c>
    </row>
    <row r="9" spans="1:16" x14ac:dyDescent="0.25">
      <c r="A9" s="1">
        <v>44197</v>
      </c>
      <c r="B9" t="s">
        <v>19</v>
      </c>
      <c r="C9" t="s">
        <v>20</v>
      </c>
      <c r="D9" t="s">
        <v>21</v>
      </c>
      <c r="E9" t="s">
        <v>22</v>
      </c>
      <c r="F9" s="4">
        <v>765.82</v>
      </c>
      <c r="G9" t="s">
        <v>43</v>
      </c>
      <c r="H9">
        <v>15000</v>
      </c>
      <c r="I9" s="4">
        <f>IF(F9&gt;=H9,F9*'All Sales'!$L$2,0)</f>
        <v>0</v>
      </c>
    </row>
    <row r="10" spans="1:16" x14ac:dyDescent="0.25">
      <c r="A10" s="1">
        <v>44197</v>
      </c>
      <c r="B10" t="s">
        <v>44</v>
      </c>
      <c r="C10" t="s">
        <v>45</v>
      </c>
      <c r="D10" t="s">
        <v>46</v>
      </c>
      <c r="E10" t="s">
        <v>22</v>
      </c>
      <c r="F10" s="4">
        <v>765.8599999999999</v>
      </c>
      <c r="G10" t="s">
        <v>15</v>
      </c>
      <c r="H10">
        <v>15000</v>
      </c>
      <c r="I10" s="4">
        <f>IF(F10&gt;=H10,F10*'All Sales'!$L$2,0)</f>
        <v>0</v>
      </c>
    </row>
    <row r="11" spans="1:16" x14ac:dyDescent="0.25">
      <c r="A11" s="1">
        <v>44197</v>
      </c>
      <c r="B11" t="s">
        <v>65</v>
      </c>
      <c r="C11" t="s">
        <v>66</v>
      </c>
      <c r="D11" t="s">
        <v>67</v>
      </c>
      <c r="E11" t="s">
        <v>22</v>
      </c>
      <c r="F11" s="4">
        <v>4671.5999999999995</v>
      </c>
      <c r="G11" t="s">
        <v>11</v>
      </c>
      <c r="H11">
        <v>15000</v>
      </c>
      <c r="I11" s="4">
        <f>IF(F11&gt;=H11,F11*'All Sales'!$L$2,0)</f>
        <v>0</v>
      </c>
    </row>
    <row r="12" spans="1:16" x14ac:dyDescent="0.25">
      <c r="A12" s="1">
        <v>44197</v>
      </c>
      <c r="B12" t="s">
        <v>19</v>
      </c>
      <c r="C12" t="s">
        <v>20</v>
      </c>
      <c r="D12" t="s">
        <v>21</v>
      </c>
      <c r="E12" t="s">
        <v>22</v>
      </c>
      <c r="F12" s="4">
        <v>1945.6</v>
      </c>
      <c r="G12" t="s">
        <v>11</v>
      </c>
      <c r="H12">
        <v>15000</v>
      </c>
      <c r="I12" s="4">
        <f>IF(F12&gt;=H12,F12*'All Sales'!$L$2,0)</f>
        <v>0</v>
      </c>
    </row>
    <row r="13" spans="1:16" x14ac:dyDescent="0.25">
      <c r="A13" s="1">
        <v>44197</v>
      </c>
      <c r="B13" t="s">
        <v>44</v>
      </c>
      <c r="C13" t="s">
        <v>45</v>
      </c>
      <c r="D13" t="s">
        <v>46</v>
      </c>
      <c r="E13" t="s">
        <v>22</v>
      </c>
      <c r="F13" s="4">
        <v>1017.6</v>
      </c>
      <c r="G13" t="s">
        <v>15</v>
      </c>
      <c r="H13">
        <v>15000</v>
      </c>
      <c r="I13" s="4">
        <f>IF(F13&gt;=H13,F13*'All Sales'!$L$2,0)</f>
        <v>0</v>
      </c>
    </row>
    <row r="14" spans="1:16" x14ac:dyDescent="0.25">
      <c r="A14" s="1">
        <v>44197</v>
      </c>
      <c r="B14" t="s">
        <v>53</v>
      </c>
      <c r="C14" t="s">
        <v>54</v>
      </c>
      <c r="D14" t="s">
        <v>55</v>
      </c>
      <c r="E14" t="s">
        <v>22</v>
      </c>
      <c r="F14" s="4">
        <v>909.86</v>
      </c>
      <c r="G14" t="s">
        <v>43</v>
      </c>
      <c r="H14">
        <v>15000</v>
      </c>
      <c r="I14" s="4">
        <f>IF(F14&gt;=H14,F14*'All Sales'!$L$2,0)</f>
        <v>0</v>
      </c>
    </row>
    <row r="15" spans="1:16" x14ac:dyDescent="0.25">
      <c r="A15" s="1">
        <v>44197</v>
      </c>
      <c r="B15" t="s">
        <v>19</v>
      </c>
      <c r="C15" t="s">
        <v>20</v>
      </c>
      <c r="D15" t="s">
        <v>21</v>
      </c>
      <c r="E15" t="s">
        <v>22</v>
      </c>
      <c r="F15" s="4">
        <v>6945.4</v>
      </c>
      <c r="G15" t="s">
        <v>43</v>
      </c>
      <c r="H15">
        <v>15000</v>
      </c>
      <c r="I15" s="4">
        <f>IF(F15&gt;=H15,F15*'All Sales'!$L$2,0)</f>
        <v>0</v>
      </c>
    </row>
    <row r="16" spans="1:16" x14ac:dyDescent="0.25">
      <c r="A16" s="1">
        <v>44197</v>
      </c>
      <c r="B16" t="s">
        <v>19</v>
      </c>
      <c r="C16" t="s">
        <v>20</v>
      </c>
      <c r="D16" t="s">
        <v>21</v>
      </c>
      <c r="E16" t="s">
        <v>22</v>
      </c>
      <c r="F16" s="4">
        <v>7658.2000000000007</v>
      </c>
      <c r="G16" t="s">
        <v>43</v>
      </c>
      <c r="H16">
        <v>15000</v>
      </c>
      <c r="I16" s="4">
        <f>IF(F16&gt;=H16,F16*'All Sales'!$L$2,0)</f>
        <v>0</v>
      </c>
    </row>
    <row r="17" spans="1:9" x14ac:dyDescent="0.25">
      <c r="A17" s="1">
        <v>44197</v>
      </c>
      <c r="B17" t="s">
        <v>44</v>
      </c>
      <c r="C17" t="s">
        <v>45</v>
      </c>
      <c r="D17" t="s">
        <v>46</v>
      </c>
      <c r="E17" t="s">
        <v>22</v>
      </c>
      <c r="F17" s="4">
        <v>7658.5999999999985</v>
      </c>
      <c r="G17" t="s">
        <v>15</v>
      </c>
      <c r="H17">
        <v>15000</v>
      </c>
      <c r="I17" s="4">
        <f>IF(F17&gt;=H17,F17*'All Sales'!$L$2,0)</f>
        <v>0</v>
      </c>
    </row>
    <row r="18" spans="1:9" x14ac:dyDescent="0.25">
      <c r="A18" s="1">
        <v>44197</v>
      </c>
      <c r="B18" t="s">
        <v>53</v>
      </c>
      <c r="C18" t="s">
        <v>54</v>
      </c>
      <c r="D18" t="s">
        <v>55</v>
      </c>
      <c r="E18" t="s">
        <v>22</v>
      </c>
      <c r="F18" s="4">
        <v>9098.6</v>
      </c>
      <c r="G18" t="s">
        <v>43</v>
      </c>
      <c r="H18">
        <v>15000</v>
      </c>
      <c r="I18" s="4">
        <f>IF(F18&gt;=H18,F18*'All Sales'!$L$2,0)</f>
        <v>0</v>
      </c>
    </row>
    <row r="19" spans="1:9" x14ac:dyDescent="0.25">
      <c r="A19" s="1">
        <v>44197</v>
      </c>
      <c r="B19" t="s">
        <v>19</v>
      </c>
      <c r="C19" t="s">
        <v>20</v>
      </c>
      <c r="D19" t="s">
        <v>21</v>
      </c>
      <c r="E19" t="s">
        <v>22</v>
      </c>
      <c r="F19" s="4">
        <v>10019.199999999999</v>
      </c>
      <c r="G19" t="s">
        <v>43</v>
      </c>
      <c r="H19">
        <v>15000</v>
      </c>
      <c r="I19" s="4">
        <f>IF(F19&gt;=H19,F19*'All Sales'!$L$2,0)</f>
        <v>0</v>
      </c>
    </row>
    <row r="20" spans="1:9" x14ac:dyDescent="0.25">
      <c r="A20" s="1">
        <v>44197</v>
      </c>
      <c r="B20" t="s">
        <v>44</v>
      </c>
      <c r="C20" t="s">
        <v>45</v>
      </c>
      <c r="D20" t="s">
        <v>46</v>
      </c>
      <c r="E20" t="s">
        <v>22</v>
      </c>
      <c r="F20" s="4">
        <v>10176</v>
      </c>
      <c r="G20" t="s">
        <v>15</v>
      </c>
      <c r="H20">
        <v>15000</v>
      </c>
      <c r="I20" s="4">
        <f>IF(F20&gt;=H20,F20*'All Sales'!$L$2,0)</f>
        <v>0</v>
      </c>
    </row>
    <row r="21" spans="1:9" x14ac:dyDescent="0.25">
      <c r="A21" s="1">
        <v>44197</v>
      </c>
      <c r="B21" t="s">
        <v>53</v>
      </c>
      <c r="C21" t="s">
        <v>54</v>
      </c>
      <c r="D21" t="s">
        <v>55</v>
      </c>
      <c r="E21" t="s">
        <v>22</v>
      </c>
      <c r="F21" s="4">
        <v>16385.600000000002</v>
      </c>
      <c r="G21" t="s">
        <v>11</v>
      </c>
      <c r="H21">
        <v>15000</v>
      </c>
      <c r="I21" s="4">
        <f>IF(F21&gt;=H21,F21*'All Sales'!$L$2,0)</f>
        <v>1638.5600000000004</v>
      </c>
    </row>
    <row r="22" spans="1:9" x14ac:dyDescent="0.25">
      <c r="A22" s="1">
        <v>44197</v>
      </c>
      <c r="B22" t="s">
        <v>44</v>
      </c>
      <c r="C22" t="s">
        <v>45</v>
      </c>
      <c r="D22" t="s">
        <v>46</v>
      </c>
      <c r="E22" t="s">
        <v>22</v>
      </c>
      <c r="F22" s="4">
        <v>19108</v>
      </c>
      <c r="G22" t="s">
        <v>15</v>
      </c>
      <c r="H22">
        <v>15000</v>
      </c>
      <c r="I22" s="4">
        <f>IF(F22&gt;=H22,F22*'All Sales'!$L$2,0)</f>
        <v>1910.8000000000002</v>
      </c>
    </row>
    <row r="23" spans="1:9" x14ac:dyDescent="0.25">
      <c r="A23" s="1">
        <v>44197</v>
      </c>
      <c r="B23" t="s">
        <v>19</v>
      </c>
      <c r="C23" t="s">
        <v>20</v>
      </c>
      <c r="D23" t="s">
        <v>21</v>
      </c>
      <c r="E23" t="s">
        <v>22</v>
      </c>
      <c r="F23" s="4">
        <v>19456</v>
      </c>
      <c r="G23" t="s">
        <v>11</v>
      </c>
      <c r="H23">
        <v>15000</v>
      </c>
      <c r="I23" s="4">
        <f>IF(F23&gt;=H23,F23*'All Sales'!$L$2,0)</f>
        <v>1945.6000000000001</v>
      </c>
    </row>
    <row r="24" spans="1:9" x14ac:dyDescent="0.25">
      <c r="A24" s="1">
        <v>44197</v>
      </c>
      <c r="B24" t="s">
        <v>65</v>
      </c>
      <c r="C24" t="s">
        <v>66</v>
      </c>
      <c r="D24" t="s">
        <v>67</v>
      </c>
      <c r="E24" t="s">
        <v>22</v>
      </c>
      <c r="F24" s="4">
        <v>31127.199999999997</v>
      </c>
      <c r="G24" t="s">
        <v>43</v>
      </c>
      <c r="H24">
        <v>15000</v>
      </c>
      <c r="I24" s="4">
        <f>IF(F24&gt;=H24,F24*'All Sales'!$L$2,0)</f>
        <v>3112.72</v>
      </c>
    </row>
    <row r="25" spans="1:9" x14ac:dyDescent="0.25">
      <c r="A25" s="1">
        <v>44197</v>
      </c>
      <c r="B25" t="s">
        <v>65</v>
      </c>
      <c r="C25" t="s">
        <v>66</v>
      </c>
      <c r="D25" t="s">
        <v>67</v>
      </c>
      <c r="E25" t="s">
        <v>22</v>
      </c>
      <c r="F25" s="4">
        <v>36372.1</v>
      </c>
      <c r="G25" t="s">
        <v>11</v>
      </c>
      <c r="H25">
        <v>15000</v>
      </c>
      <c r="I25" s="4">
        <f>IF(F25&gt;=H25,F25*'All Sales'!$L$2,0)</f>
        <v>3637.21</v>
      </c>
    </row>
    <row r="26" spans="1:9" x14ac:dyDescent="0.25">
      <c r="A26" s="1">
        <v>44197</v>
      </c>
      <c r="B26" t="s">
        <v>44</v>
      </c>
      <c r="C26" t="s">
        <v>45</v>
      </c>
      <c r="D26" t="s">
        <v>46</v>
      </c>
      <c r="E26" t="s">
        <v>22</v>
      </c>
      <c r="F26" s="4">
        <v>39186</v>
      </c>
      <c r="G26" t="s">
        <v>15</v>
      </c>
      <c r="H26">
        <v>15000</v>
      </c>
      <c r="I26" s="4">
        <f>IF(F26&gt;=H26,F26*'All Sales'!$L$2,0)</f>
        <v>3918.6000000000004</v>
      </c>
    </row>
    <row r="27" spans="1:9" x14ac:dyDescent="0.25">
      <c r="A27" s="1">
        <v>44197</v>
      </c>
      <c r="B27" t="s">
        <v>65</v>
      </c>
      <c r="C27" t="s">
        <v>66</v>
      </c>
      <c r="D27" t="s">
        <v>67</v>
      </c>
      <c r="E27" t="s">
        <v>22</v>
      </c>
      <c r="F27" s="4">
        <v>46715.999999999993</v>
      </c>
      <c r="G27" t="s">
        <v>11</v>
      </c>
      <c r="H27">
        <v>15000</v>
      </c>
      <c r="I27" s="4">
        <f>IF(F27&gt;=H27,F27*'All Sales'!$L$2,0)</f>
        <v>4671.5999999999995</v>
      </c>
    </row>
    <row r="28" spans="1:9" x14ac:dyDescent="0.25">
      <c r="A28" s="1">
        <v>44228</v>
      </c>
      <c r="B28" t="s">
        <v>19</v>
      </c>
      <c r="C28" t="s">
        <v>20</v>
      </c>
      <c r="D28" t="s">
        <v>21</v>
      </c>
      <c r="E28" t="s">
        <v>22</v>
      </c>
      <c r="F28" s="4">
        <v>734.32</v>
      </c>
      <c r="G28" t="s">
        <v>15</v>
      </c>
      <c r="H28">
        <v>15000</v>
      </c>
      <c r="I28" s="4">
        <f>IF(F28&gt;=H28,F28*'All Sales'!$L$2,0)</f>
        <v>0</v>
      </c>
    </row>
    <row r="29" spans="1:9" x14ac:dyDescent="0.25">
      <c r="A29" s="1">
        <v>44228</v>
      </c>
      <c r="B29" t="s">
        <v>19</v>
      </c>
      <c r="C29" t="s">
        <v>20</v>
      </c>
      <c r="D29" t="s">
        <v>21</v>
      </c>
      <c r="E29" t="s">
        <v>22</v>
      </c>
      <c r="F29" s="4">
        <v>2839.55</v>
      </c>
      <c r="G29" t="s">
        <v>43</v>
      </c>
      <c r="H29">
        <v>15000</v>
      </c>
      <c r="I29" s="4">
        <f>IF(F29&gt;=H29,F29*'All Sales'!$L$2,0)</f>
        <v>0</v>
      </c>
    </row>
    <row r="30" spans="1:9" x14ac:dyDescent="0.25">
      <c r="A30" s="1">
        <v>44228</v>
      </c>
      <c r="B30" t="s">
        <v>19</v>
      </c>
      <c r="C30" t="s">
        <v>20</v>
      </c>
      <c r="D30" t="s">
        <v>21</v>
      </c>
      <c r="E30" t="s">
        <v>22</v>
      </c>
      <c r="F30" s="4">
        <v>453.09999999999997</v>
      </c>
      <c r="G30" t="s">
        <v>43</v>
      </c>
      <c r="H30">
        <v>15000</v>
      </c>
      <c r="I30" s="4">
        <f>IF(F30&gt;=H30,F30*'All Sales'!$L$2,0)</f>
        <v>0</v>
      </c>
    </row>
    <row r="31" spans="1:9" x14ac:dyDescent="0.25">
      <c r="A31" s="1">
        <v>44228</v>
      </c>
      <c r="B31" t="s">
        <v>37</v>
      </c>
      <c r="C31" t="s">
        <v>38</v>
      </c>
      <c r="D31" t="s">
        <v>39</v>
      </c>
      <c r="E31" t="s">
        <v>22</v>
      </c>
      <c r="F31" s="4">
        <v>1774.8</v>
      </c>
      <c r="G31" t="s">
        <v>11</v>
      </c>
      <c r="H31">
        <v>15000</v>
      </c>
      <c r="I31" s="4">
        <f>IF(F31&gt;=H31,F31*'All Sales'!$L$2,0)</f>
        <v>0</v>
      </c>
    </row>
    <row r="32" spans="1:9" x14ac:dyDescent="0.25">
      <c r="A32" s="1">
        <v>44228</v>
      </c>
      <c r="B32" t="s">
        <v>19</v>
      </c>
      <c r="C32" t="s">
        <v>20</v>
      </c>
      <c r="D32" t="s">
        <v>21</v>
      </c>
      <c r="E32" t="s">
        <v>22</v>
      </c>
      <c r="F32" s="4">
        <v>735.66</v>
      </c>
      <c r="G32" t="s">
        <v>11</v>
      </c>
      <c r="H32">
        <v>15000</v>
      </c>
      <c r="I32" s="4">
        <f>IF(F32&gt;=H32,F32*'All Sales'!$L$2,0)</f>
        <v>0</v>
      </c>
    </row>
    <row r="33" spans="1:9" x14ac:dyDescent="0.25">
      <c r="A33" s="1">
        <v>44228</v>
      </c>
      <c r="B33" t="s">
        <v>37</v>
      </c>
      <c r="C33" t="s">
        <v>38</v>
      </c>
      <c r="D33" t="s">
        <v>39</v>
      </c>
      <c r="E33" t="s">
        <v>22</v>
      </c>
      <c r="F33" s="4">
        <v>675.18</v>
      </c>
      <c r="G33" t="s">
        <v>15</v>
      </c>
      <c r="H33">
        <v>15000</v>
      </c>
      <c r="I33" s="4">
        <f>IF(F33&gt;=H33,F33*'All Sales'!$L$2,0)</f>
        <v>0</v>
      </c>
    </row>
    <row r="34" spans="1:9" x14ac:dyDescent="0.25">
      <c r="A34" s="1">
        <v>44228</v>
      </c>
      <c r="B34" t="s">
        <v>44</v>
      </c>
      <c r="C34" t="s">
        <v>45</v>
      </c>
      <c r="D34" t="s">
        <v>46</v>
      </c>
      <c r="E34" t="s">
        <v>22</v>
      </c>
      <c r="F34" s="4">
        <v>4142.95</v>
      </c>
      <c r="G34" t="s">
        <v>15</v>
      </c>
      <c r="H34">
        <v>15000</v>
      </c>
      <c r="I34" s="4">
        <f>IF(F34&gt;=H34,F34*'All Sales'!$L$2,0)</f>
        <v>0</v>
      </c>
    </row>
    <row r="35" spans="1:9" x14ac:dyDescent="0.25">
      <c r="A35" s="1">
        <v>44228</v>
      </c>
      <c r="B35" t="s">
        <v>19</v>
      </c>
      <c r="C35" t="s">
        <v>20</v>
      </c>
      <c r="D35" t="s">
        <v>21</v>
      </c>
      <c r="E35" t="s">
        <v>22</v>
      </c>
      <c r="F35" s="4">
        <v>4531</v>
      </c>
      <c r="G35" t="s">
        <v>43</v>
      </c>
      <c r="H35">
        <v>15000</v>
      </c>
      <c r="I35" s="4">
        <f>IF(F35&gt;=H35,F35*'All Sales'!$L$2,0)</f>
        <v>0</v>
      </c>
    </row>
    <row r="36" spans="1:9" x14ac:dyDescent="0.25">
      <c r="A36" s="1">
        <v>44228</v>
      </c>
      <c r="B36" t="s">
        <v>37</v>
      </c>
      <c r="C36" t="s">
        <v>38</v>
      </c>
      <c r="D36" t="s">
        <v>39</v>
      </c>
      <c r="E36" t="s">
        <v>22</v>
      </c>
      <c r="F36" s="4">
        <v>6751.7999999999993</v>
      </c>
      <c r="G36" t="s">
        <v>15</v>
      </c>
      <c r="H36">
        <v>15000</v>
      </c>
      <c r="I36" s="4">
        <f>IF(F36&gt;=H36,F36*'All Sales'!$L$2,0)</f>
        <v>0</v>
      </c>
    </row>
    <row r="37" spans="1:9" x14ac:dyDescent="0.25">
      <c r="A37" s="1">
        <v>44228</v>
      </c>
      <c r="B37" t="s">
        <v>19</v>
      </c>
      <c r="C37" t="s">
        <v>20</v>
      </c>
      <c r="D37" t="s">
        <v>21</v>
      </c>
      <c r="E37" t="s">
        <v>22</v>
      </c>
      <c r="F37" s="4">
        <v>7343.2000000000007</v>
      </c>
      <c r="G37" t="s">
        <v>15</v>
      </c>
      <c r="H37">
        <v>15000</v>
      </c>
      <c r="I37" s="4">
        <f>IF(F37&gt;=H37,F37*'All Sales'!$L$2,0)</f>
        <v>0</v>
      </c>
    </row>
    <row r="38" spans="1:9" x14ac:dyDescent="0.25">
      <c r="A38" s="1">
        <v>44228</v>
      </c>
      <c r="B38" t="s">
        <v>19</v>
      </c>
      <c r="C38" t="s">
        <v>20</v>
      </c>
      <c r="D38" t="s">
        <v>21</v>
      </c>
      <c r="E38" t="s">
        <v>22</v>
      </c>
      <c r="F38" s="4">
        <v>7356.5999999999995</v>
      </c>
      <c r="G38" t="s">
        <v>11</v>
      </c>
      <c r="H38">
        <v>15000</v>
      </c>
      <c r="I38" s="4">
        <f>IF(F38&gt;=H38,F38*'All Sales'!$L$2,0)</f>
        <v>0</v>
      </c>
    </row>
    <row r="39" spans="1:9" x14ac:dyDescent="0.25">
      <c r="A39" s="1">
        <v>44228</v>
      </c>
      <c r="B39" t="s">
        <v>37</v>
      </c>
      <c r="C39" t="s">
        <v>38</v>
      </c>
      <c r="D39" t="s">
        <v>39</v>
      </c>
      <c r="E39" t="s">
        <v>22</v>
      </c>
      <c r="F39" s="4">
        <v>17748</v>
      </c>
      <c r="G39" t="s">
        <v>11</v>
      </c>
      <c r="H39">
        <v>15000</v>
      </c>
      <c r="I39" s="4">
        <f>IF(F39&gt;=H39,F39*'All Sales'!$L$2,0)</f>
        <v>1774.8000000000002</v>
      </c>
    </row>
    <row r="40" spans="1:9" x14ac:dyDescent="0.25">
      <c r="A40" s="1">
        <v>44228</v>
      </c>
      <c r="B40" t="s">
        <v>19</v>
      </c>
      <c r="C40" t="s">
        <v>20</v>
      </c>
      <c r="D40" t="s">
        <v>21</v>
      </c>
      <c r="E40" t="s">
        <v>22</v>
      </c>
      <c r="F40" s="4">
        <v>28395.5</v>
      </c>
      <c r="G40" t="s">
        <v>43</v>
      </c>
      <c r="H40">
        <v>15000</v>
      </c>
      <c r="I40" s="4">
        <f>IF(F40&gt;=H40,F40*'All Sales'!$L$2,0)</f>
        <v>2839.55</v>
      </c>
    </row>
    <row r="41" spans="1:9" x14ac:dyDescent="0.25">
      <c r="A41" s="1">
        <v>44228</v>
      </c>
      <c r="B41" t="s">
        <v>44</v>
      </c>
      <c r="C41" t="s">
        <v>45</v>
      </c>
      <c r="D41" t="s">
        <v>46</v>
      </c>
      <c r="E41" t="s">
        <v>22</v>
      </c>
      <c r="F41" s="4">
        <v>41429.5</v>
      </c>
      <c r="G41" t="s">
        <v>15</v>
      </c>
      <c r="H41">
        <v>15000</v>
      </c>
      <c r="I41" s="4">
        <f>IF(F41&gt;=H41,F41*'All Sales'!$L$2,0)</f>
        <v>4142.95</v>
      </c>
    </row>
    <row r="42" spans="1:9" x14ac:dyDescent="0.25">
      <c r="A42" s="1">
        <v>44256</v>
      </c>
      <c r="B42" t="s">
        <v>19</v>
      </c>
      <c r="C42" t="s">
        <v>20</v>
      </c>
      <c r="D42" t="s">
        <v>21</v>
      </c>
      <c r="E42" t="s">
        <v>22</v>
      </c>
      <c r="F42" s="4">
        <v>1045.1199999999999</v>
      </c>
      <c r="G42" t="s">
        <v>11</v>
      </c>
      <c r="H42">
        <v>15000</v>
      </c>
      <c r="I42" s="4">
        <f>IF(F42&gt;=H42,F42*'All Sales'!$L$2,0)</f>
        <v>0</v>
      </c>
    </row>
    <row r="43" spans="1:9" x14ac:dyDescent="0.25">
      <c r="A43" s="1">
        <v>44256</v>
      </c>
      <c r="B43" t="s">
        <v>44</v>
      </c>
      <c r="C43" t="s">
        <v>45</v>
      </c>
      <c r="D43" t="s">
        <v>46</v>
      </c>
      <c r="E43" t="s">
        <v>22</v>
      </c>
      <c r="F43" s="4">
        <v>1432.95</v>
      </c>
      <c r="G43" t="s">
        <v>11</v>
      </c>
      <c r="H43">
        <v>15000</v>
      </c>
      <c r="I43" s="4">
        <f>IF(F43&gt;=H43,F43*'All Sales'!$L$2,0)</f>
        <v>0</v>
      </c>
    </row>
    <row r="44" spans="1:9" x14ac:dyDescent="0.25">
      <c r="A44" s="1">
        <v>44256</v>
      </c>
      <c r="B44" t="s">
        <v>44</v>
      </c>
      <c r="C44" t="s">
        <v>45</v>
      </c>
      <c r="D44" t="s">
        <v>46</v>
      </c>
      <c r="E44" t="s">
        <v>22</v>
      </c>
      <c r="F44" s="4">
        <v>3140.7</v>
      </c>
      <c r="G44" t="s">
        <v>15</v>
      </c>
      <c r="H44">
        <v>15000</v>
      </c>
      <c r="I44" s="4">
        <f>IF(F44&gt;=H44,F44*'All Sales'!$L$2,0)</f>
        <v>0</v>
      </c>
    </row>
    <row r="45" spans="1:9" x14ac:dyDescent="0.25">
      <c r="A45" s="1">
        <v>44256</v>
      </c>
      <c r="B45" t="s">
        <v>44</v>
      </c>
      <c r="C45" t="s">
        <v>45</v>
      </c>
      <c r="D45" t="s">
        <v>46</v>
      </c>
      <c r="E45" t="s">
        <v>22</v>
      </c>
      <c r="F45" s="4">
        <v>869.4</v>
      </c>
      <c r="G45" t="s">
        <v>11</v>
      </c>
      <c r="H45">
        <v>15000</v>
      </c>
      <c r="I45" s="4">
        <f>IF(F45&gt;=H45,F45*'All Sales'!$L$2,0)</f>
        <v>0</v>
      </c>
    </row>
    <row r="46" spans="1:9" x14ac:dyDescent="0.25">
      <c r="A46" s="1">
        <v>44256</v>
      </c>
      <c r="B46" t="s">
        <v>53</v>
      </c>
      <c r="C46" t="s">
        <v>54</v>
      </c>
      <c r="D46" t="s">
        <v>55</v>
      </c>
      <c r="E46" t="s">
        <v>22</v>
      </c>
      <c r="F46" s="4">
        <v>3564.75</v>
      </c>
      <c r="G46" t="s">
        <v>43</v>
      </c>
      <c r="H46">
        <v>15000</v>
      </c>
      <c r="I46" s="4">
        <f>IF(F46&gt;=H46,F46*'All Sales'!$L$2,0)</f>
        <v>0</v>
      </c>
    </row>
    <row r="47" spans="1:9" x14ac:dyDescent="0.25">
      <c r="A47" s="1">
        <v>44256</v>
      </c>
      <c r="B47" t="s">
        <v>44</v>
      </c>
      <c r="C47" t="s">
        <v>45</v>
      </c>
      <c r="D47" t="s">
        <v>46</v>
      </c>
      <c r="E47" t="s">
        <v>22</v>
      </c>
      <c r="F47" s="4">
        <v>911.6</v>
      </c>
      <c r="G47" t="s">
        <v>11</v>
      </c>
      <c r="H47">
        <v>15000</v>
      </c>
      <c r="I47" s="4">
        <f>IF(F47&gt;=H47,F47*'All Sales'!$L$2,0)</f>
        <v>0</v>
      </c>
    </row>
    <row r="48" spans="1:9" x14ac:dyDescent="0.25">
      <c r="A48" s="1">
        <v>44256</v>
      </c>
      <c r="B48" t="s">
        <v>53</v>
      </c>
      <c r="C48" t="s">
        <v>54</v>
      </c>
      <c r="D48" t="s">
        <v>55</v>
      </c>
      <c r="E48" t="s">
        <v>22</v>
      </c>
      <c r="F48" s="4">
        <v>1011.0299999999999</v>
      </c>
      <c r="G48" t="s">
        <v>11</v>
      </c>
      <c r="H48">
        <v>15000</v>
      </c>
      <c r="I48" s="4">
        <f>IF(F48&gt;=H48,F48*'All Sales'!$L$2,0)</f>
        <v>0</v>
      </c>
    </row>
    <row r="49" spans="1:9" x14ac:dyDescent="0.25">
      <c r="A49" s="1">
        <v>44256</v>
      </c>
      <c r="B49" t="s">
        <v>37</v>
      </c>
      <c r="C49" t="s">
        <v>38</v>
      </c>
      <c r="D49" t="s">
        <v>39</v>
      </c>
      <c r="E49" t="s">
        <v>22</v>
      </c>
      <c r="F49" s="4">
        <v>2795.68</v>
      </c>
      <c r="G49" t="s">
        <v>15</v>
      </c>
      <c r="H49">
        <v>15000</v>
      </c>
      <c r="I49" s="4">
        <f>IF(F49&gt;=H49,F49*'All Sales'!$L$2,0)</f>
        <v>0</v>
      </c>
    </row>
    <row r="50" spans="1:9" x14ac:dyDescent="0.25">
      <c r="A50" s="1">
        <v>44256</v>
      </c>
      <c r="B50" t="s">
        <v>37</v>
      </c>
      <c r="C50" t="s">
        <v>38</v>
      </c>
      <c r="D50" t="s">
        <v>39</v>
      </c>
      <c r="E50" t="s">
        <v>22</v>
      </c>
      <c r="F50" s="4">
        <v>2767.09</v>
      </c>
      <c r="G50" t="s">
        <v>43</v>
      </c>
      <c r="H50">
        <v>15000</v>
      </c>
      <c r="I50" s="4">
        <f>IF(F50&gt;=H50,F50*'All Sales'!$L$2,0)</f>
        <v>0</v>
      </c>
    </row>
    <row r="51" spans="1:9" x14ac:dyDescent="0.25">
      <c r="A51" s="1">
        <v>44256</v>
      </c>
      <c r="B51" t="s">
        <v>53</v>
      </c>
      <c r="C51" t="s">
        <v>54</v>
      </c>
      <c r="D51" t="s">
        <v>55</v>
      </c>
      <c r="E51" t="s">
        <v>22</v>
      </c>
      <c r="F51" s="4">
        <v>798.27</v>
      </c>
      <c r="G51" t="s">
        <v>43</v>
      </c>
      <c r="H51">
        <v>15000</v>
      </c>
      <c r="I51" s="4">
        <f>IF(F51&gt;=H51,F51*'All Sales'!$L$2,0)</f>
        <v>0</v>
      </c>
    </row>
    <row r="52" spans="1:9" x14ac:dyDescent="0.25">
      <c r="A52" s="1">
        <v>44256</v>
      </c>
      <c r="B52" t="s">
        <v>37</v>
      </c>
      <c r="C52" t="s">
        <v>38</v>
      </c>
      <c r="D52" t="s">
        <v>39</v>
      </c>
      <c r="E52" t="s">
        <v>22</v>
      </c>
      <c r="F52" s="4">
        <v>2510.2399999999998</v>
      </c>
      <c r="G52" t="s">
        <v>15</v>
      </c>
      <c r="H52">
        <v>15000</v>
      </c>
      <c r="I52" s="4">
        <f>IF(F52&gt;=H52,F52*'All Sales'!$L$2,0)</f>
        <v>0</v>
      </c>
    </row>
    <row r="53" spans="1:9" x14ac:dyDescent="0.25">
      <c r="A53" s="1">
        <v>44256</v>
      </c>
      <c r="B53" t="s">
        <v>53</v>
      </c>
      <c r="C53" t="s">
        <v>54</v>
      </c>
      <c r="D53" t="s">
        <v>55</v>
      </c>
      <c r="E53" t="s">
        <v>22</v>
      </c>
      <c r="F53" s="4">
        <v>3690.7200000000003</v>
      </c>
      <c r="G53" t="s">
        <v>15</v>
      </c>
      <c r="H53">
        <v>15000</v>
      </c>
      <c r="I53" s="4">
        <f>IF(F53&gt;=H53,F53*'All Sales'!$L$2,0)</f>
        <v>0</v>
      </c>
    </row>
    <row r="54" spans="1:9" x14ac:dyDescent="0.25">
      <c r="A54" s="1">
        <v>44256</v>
      </c>
      <c r="B54" t="s">
        <v>65</v>
      </c>
      <c r="C54" t="s">
        <v>66</v>
      </c>
      <c r="D54" t="s">
        <v>67</v>
      </c>
      <c r="E54" t="s">
        <v>22</v>
      </c>
      <c r="F54" s="4">
        <v>670.89</v>
      </c>
      <c r="G54" t="s">
        <v>43</v>
      </c>
      <c r="H54">
        <v>15000</v>
      </c>
      <c r="I54" s="4">
        <f>IF(F54&gt;=H54,F54*'All Sales'!$L$2,0)</f>
        <v>0</v>
      </c>
    </row>
    <row r="55" spans="1:9" x14ac:dyDescent="0.25">
      <c r="A55" s="1">
        <v>44256</v>
      </c>
      <c r="B55" t="s">
        <v>44</v>
      </c>
      <c r="C55" t="s">
        <v>45</v>
      </c>
      <c r="D55" t="s">
        <v>46</v>
      </c>
      <c r="E55" t="s">
        <v>22</v>
      </c>
      <c r="F55" s="4">
        <v>2012.8</v>
      </c>
      <c r="G55" t="s">
        <v>43</v>
      </c>
      <c r="H55">
        <v>15000</v>
      </c>
      <c r="I55" s="4">
        <f>IF(F55&gt;=H55,F55*'All Sales'!$L$2,0)</f>
        <v>0</v>
      </c>
    </row>
    <row r="56" spans="1:9" x14ac:dyDescent="0.25">
      <c r="A56" s="1">
        <v>44256</v>
      </c>
      <c r="B56" t="s">
        <v>65</v>
      </c>
      <c r="C56" t="s">
        <v>66</v>
      </c>
      <c r="D56" t="s">
        <v>67</v>
      </c>
      <c r="E56" t="s">
        <v>22</v>
      </c>
      <c r="F56" s="4">
        <v>2116.7999999999997</v>
      </c>
      <c r="G56" t="s">
        <v>11</v>
      </c>
      <c r="H56">
        <v>15000</v>
      </c>
      <c r="I56" s="4">
        <f>IF(F56&gt;=H56,F56*'All Sales'!$L$2,0)</f>
        <v>0</v>
      </c>
    </row>
    <row r="57" spans="1:9" x14ac:dyDescent="0.25">
      <c r="A57" s="1">
        <v>44256</v>
      </c>
      <c r="B57" t="s">
        <v>19</v>
      </c>
      <c r="C57" t="s">
        <v>20</v>
      </c>
      <c r="D57" t="s">
        <v>21</v>
      </c>
      <c r="E57" t="s">
        <v>22</v>
      </c>
      <c r="F57" s="4">
        <v>1158.04</v>
      </c>
      <c r="G57" t="s">
        <v>15</v>
      </c>
      <c r="H57">
        <v>15000</v>
      </c>
      <c r="I57" s="4">
        <f>IF(F57&gt;=H57,F57*'All Sales'!$L$2,0)</f>
        <v>0</v>
      </c>
    </row>
    <row r="58" spans="1:9" x14ac:dyDescent="0.25">
      <c r="A58" s="1">
        <v>44256</v>
      </c>
      <c r="B58" t="s">
        <v>65</v>
      </c>
      <c r="C58" t="s">
        <v>66</v>
      </c>
      <c r="D58" t="s">
        <v>67</v>
      </c>
      <c r="E58" t="s">
        <v>22</v>
      </c>
      <c r="F58" s="4">
        <v>6708.9</v>
      </c>
      <c r="G58" t="s">
        <v>43</v>
      </c>
      <c r="H58">
        <v>15000</v>
      </c>
      <c r="I58" s="4">
        <f>IF(F58&gt;=H58,F58*'All Sales'!$L$2,0)</f>
        <v>0</v>
      </c>
    </row>
    <row r="59" spans="1:9" x14ac:dyDescent="0.25">
      <c r="A59" s="1">
        <v>44256</v>
      </c>
      <c r="B59" t="s">
        <v>53</v>
      </c>
      <c r="C59" t="s">
        <v>54</v>
      </c>
      <c r="D59" t="s">
        <v>55</v>
      </c>
      <c r="E59" t="s">
        <v>22</v>
      </c>
      <c r="F59" s="4">
        <v>7982.7</v>
      </c>
      <c r="G59" t="s">
        <v>43</v>
      </c>
      <c r="H59">
        <v>15000</v>
      </c>
      <c r="I59" s="4">
        <f>IF(F59&gt;=H59,F59*'All Sales'!$L$2,0)</f>
        <v>0</v>
      </c>
    </row>
    <row r="60" spans="1:9" x14ac:dyDescent="0.25">
      <c r="A60" s="1">
        <v>44256</v>
      </c>
      <c r="B60" t="s">
        <v>44</v>
      </c>
      <c r="C60" t="s">
        <v>45</v>
      </c>
      <c r="D60" t="s">
        <v>46</v>
      </c>
      <c r="E60" t="s">
        <v>22</v>
      </c>
      <c r="F60" s="4">
        <v>8694</v>
      </c>
      <c r="G60" t="s">
        <v>11</v>
      </c>
      <c r="H60">
        <v>15000</v>
      </c>
      <c r="I60" s="4">
        <f>IF(F60&gt;=H60,F60*'All Sales'!$L$2,0)</f>
        <v>0</v>
      </c>
    </row>
    <row r="61" spans="1:9" x14ac:dyDescent="0.25">
      <c r="A61" s="1">
        <v>44256</v>
      </c>
      <c r="B61" t="s">
        <v>44</v>
      </c>
      <c r="C61" t="s">
        <v>45</v>
      </c>
      <c r="D61" t="s">
        <v>46</v>
      </c>
      <c r="E61" t="s">
        <v>22</v>
      </c>
      <c r="F61" s="4">
        <v>9116</v>
      </c>
      <c r="G61" t="s">
        <v>11</v>
      </c>
      <c r="H61">
        <v>15000</v>
      </c>
      <c r="I61" s="4">
        <f>IF(F61&gt;=H61,F61*'All Sales'!$L$2,0)</f>
        <v>0</v>
      </c>
    </row>
    <row r="62" spans="1:9" x14ac:dyDescent="0.25">
      <c r="A62" s="1">
        <v>44256</v>
      </c>
      <c r="B62" t="s">
        <v>53</v>
      </c>
      <c r="C62" t="s">
        <v>54</v>
      </c>
      <c r="D62" t="s">
        <v>55</v>
      </c>
      <c r="E62" t="s">
        <v>22</v>
      </c>
      <c r="F62" s="4">
        <v>10110.299999999999</v>
      </c>
      <c r="G62" t="s">
        <v>11</v>
      </c>
      <c r="H62">
        <v>15000</v>
      </c>
      <c r="I62" s="4">
        <f>IF(F62&gt;=H62,F62*'All Sales'!$L$2,0)</f>
        <v>0</v>
      </c>
    </row>
    <row r="63" spans="1:9" x14ac:dyDescent="0.25">
      <c r="A63" s="1">
        <v>44256</v>
      </c>
      <c r="B63" t="s">
        <v>19</v>
      </c>
      <c r="C63" t="s">
        <v>20</v>
      </c>
      <c r="D63" t="s">
        <v>21</v>
      </c>
      <c r="E63" t="s">
        <v>22</v>
      </c>
      <c r="F63" s="4">
        <v>10451.199999999999</v>
      </c>
      <c r="G63" t="s">
        <v>11</v>
      </c>
      <c r="H63">
        <v>15000</v>
      </c>
      <c r="I63" s="4">
        <f>IF(F63&gt;=H63,F63*'All Sales'!$L$2,0)</f>
        <v>0</v>
      </c>
    </row>
    <row r="64" spans="1:9" x14ac:dyDescent="0.25">
      <c r="A64" s="1">
        <v>44256</v>
      </c>
      <c r="B64" t="s">
        <v>19</v>
      </c>
      <c r="C64" t="s">
        <v>20</v>
      </c>
      <c r="D64" t="s">
        <v>21</v>
      </c>
      <c r="E64" t="s">
        <v>22</v>
      </c>
      <c r="F64" s="4">
        <v>11580.4</v>
      </c>
      <c r="G64" t="s">
        <v>15</v>
      </c>
      <c r="H64">
        <v>15000</v>
      </c>
      <c r="I64" s="4">
        <f>IF(F64&gt;=H64,F64*'All Sales'!$L$2,0)</f>
        <v>0</v>
      </c>
    </row>
    <row r="65" spans="1:9" x14ac:dyDescent="0.25">
      <c r="A65" s="1">
        <v>44256</v>
      </c>
      <c r="B65" t="s">
        <v>44</v>
      </c>
      <c r="C65" t="s">
        <v>45</v>
      </c>
      <c r="D65" t="s">
        <v>46</v>
      </c>
      <c r="E65" t="s">
        <v>22</v>
      </c>
      <c r="F65" s="4">
        <v>14329.5</v>
      </c>
      <c r="G65" t="s">
        <v>11</v>
      </c>
      <c r="H65">
        <v>15000</v>
      </c>
      <c r="I65" s="4">
        <f>IF(F65&gt;=H65,F65*'All Sales'!$L$2,0)</f>
        <v>0</v>
      </c>
    </row>
    <row r="66" spans="1:9" x14ac:dyDescent="0.25">
      <c r="A66" s="1">
        <v>44256</v>
      </c>
      <c r="B66" t="s">
        <v>44</v>
      </c>
      <c r="C66" t="s">
        <v>45</v>
      </c>
      <c r="D66" t="s">
        <v>46</v>
      </c>
      <c r="E66" t="s">
        <v>22</v>
      </c>
      <c r="F66" s="4">
        <v>20128</v>
      </c>
      <c r="G66" t="s">
        <v>43</v>
      </c>
      <c r="H66">
        <v>15000</v>
      </c>
      <c r="I66" s="4">
        <f>IF(F66&gt;=H66,F66*'All Sales'!$L$2,0)</f>
        <v>2012.8000000000002</v>
      </c>
    </row>
    <row r="67" spans="1:9" x14ac:dyDescent="0.25">
      <c r="A67" s="1">
        <v>44256</v>
      </c>
      <c r="B67" t="s">
        <v>65</v>
      </c>
      <c r="C67" t="s">
        <v>66</v>
      </c>
      <c r="D67" t="s">
        <v>67</v>
      </c>
      <c r="E67" t="s">
        <v>22</v>
      </c>
      <c r="F67" s="4">
        <v>21167.999999999996</v>
      </c>
      <c r="G67" t="s">
        <v>11</v>
      </c>
      <c r="H67">
        <v>15000</v>
      </c>
      <c r="I67" s="4">
        <f>IF(F67&gt;=H67,F67*'All Sales'!$L$2,0)</f>
        <v>2116.7999999999997</v>
      </c>
    </row>
    <row r="68" spans="1:9" x14ac:dyDescent="0.25">
      <c r="A68" s="1">
        <v>44256</v>
      </c>
      <c r="B68" t="s">
        <v>37</v>
      </c>
      <c r="C68" t="s">
        <v>38</v>
      </c>
      <c r="D68" t="s">
        <v>39</v>
      </c>
      <c r="E68" t="s">
        <v>22</v>
      </c>
      <c r="F68" s="4">
        <v>25102.399999999998</v>
      </c>
      <c r="G68" t="s">
        <v>15</v>
      </c>
      <c r="H68">
        <v>15000</v>
      </c>
      <c r="I68" s="4">
        <f>IF(F68&gt;=H68,F68*'All Sales'!$L$2,0)</f>
        <v>2510.2399999999998</v>
      </c>
    </row>
    <row r="69" spans="1:9" x14ac:dyDescent="0.25">
      <c r="A69" s="1">
        <v>44256</v>
      </c>
      <c r="B69" t="s">
        <v>37</v>
      </c>
      <c r="C69" t="s">
        <v>38</v>
      </c>
      <c r="D69" t="s">
        <v>39</v>
      </c>
      <c r="E69" t="s">
        <v>22</v>
      </c>
      <c r="F69" s="4">
        <v>27670.9</v>
      </c>
      <c r="G69" t="s">
        <v>43</v>
      </c>
      <c r="H69">
        <v>15000</v>
      </c>
      <c r="I69" s="4">
        <f>IF(F69&gt;=H69,F69*'All Sales'!$L$2,0)</f>
        <v>2767.09</v>
      </c>
    </row>
    <row r="70" spans="1:9" x14ac:dyDescent="0.25">
      <c r="A70" s="1">
        <v>44256</v>
      </c>
      <c r="B70" t="s">
        <v>37</v>
      </c>
      <c r="C70" t="s">
        <v>38</v>
      </c>
      <c r="D70" t="s">
        <v>39</v>
      </c>
      <c r="E70" t="s">
        <v>22</v>
      </c>
      <c r="F70" s="4">
        <v>27956.799999999999</v>
      </c>
      <c r="G70" t="s">
        <v>15</v>
      </c>
      <c r="H70">
        <v>15000</v>
      </c>
      <c r="I70" s="4">
        <f>IF(F70&gt;=H70,F70*'All Sales'!$L$2,0)</f>
        <v>2795.6800000000003</v>
      </c>
    </row>
    <row r="71" spans="1:9" x14ac:dyDescent="0.25">
      <c r="A71" s="1">
        <v>44256</v>
      </c>
      <c r="B71" t="s">
        <v>44</v>
      </c>
      <c r="C71" t="s">
        <v>45</v>
      </c>
      <c r="D71" t="s">
        <v>46</v>
      </c>
      <c r="E71" t="s">
        <v>22</v>
      </c>
      <c r="F71" s="4">
        <v>31407</v>
      </c>
      <c r="G71" t="s">
        <v>15</v>
      </c>
      <c r="H71">
        <v>15000</v>
      </c>
      <c r="I71" s="4">
        <f>IF(F71&gt;=H71,F71*'All Sales'!$L$2,0)</f>
        <v>3140.7000000000003</v>
      </c>
    </row>
    <row r="72" spans="1:9" x14ac:dyDescent="0.25">
      <c r="A72" s="1">
        <v>44256</v>
      </c>
      <c r="B72" t="s">
        <v>53</v>
      </c>
      <c r="C72" t="s">
        <v>54</v>
      </c>
      <c r="D72" t="s">
        <v>55</v>
      </c>
      <c r="E72" t="s">
        <v>22</v>
      </c>
      <c r="F72" s="4">
        <v>35647.5</v>
      </c>
      <c r="G72" t="s">
        <v>43</v>
      </c>
      <c r="H72">
        <v>15000</v>
      </c>
      <c r="I72" s="4">
        <f>IF(F72&gt;=H72,F72*'All Sales'!$L$2,0)</f>
        <v>3564.75</v>
      </c>
    </row>
    <row r="73" spans="1:9" x14ac:dyDescent="0.25">
      <c r="A73" s="1">
        <v>44256</v>
      </c>
      <c r="B73" t="s">
        <v>53</v>
      </c>
      <c r="C73" t="s">
        <v>54</v>
      </c>
      <c r="D73" t="s">
        <v>55</v>
      </c>
      <c r="E73" t="s">
        <v>22</v>
      </c>
      <c r="F73" s="4">
        <v>36907.200000000004</v>
      </c>
      <c r="G73" t="s">
        <v>15</v>
      </c>
      <c r="H73">
        <v>15000</v>
      </c>
      <c r="I73" s="4">
        <f>IF(F73&gt;=H73,F73*'All Sales'!$L$2,0)</f>
        <v>3690.7200000000007</v>
      </c>
    </row>
    <row r="74" spans="1:9" x14ac:dyDescent="0.25">
      <c r="A74" s="1">
        <v>44287</v>
      </c>
      <c r="B74" t="s">
        <v>19</v>
      </c>
      <c r="C74" t="s">
        <v>20</v>
      </c>
      <c r="D74" t="s">
        <v>21</v>
      </c>
      <c r="E74" t="s">
        <v>22</v>
      </c>
      <c r="F74" s="4">
        <v>1171.6500000000001</v>
      </c>
      <c r="G74" t="s">
        <v>11</v>
      </c>
      <c r="H74">
        <v>15000</v>
      </c>
      <c r="I74" s="4">
        <f>IF(F74&gt;=H74,F74*'All Sales'!$L$2,0)</f>
        <v>0</v>
      </c>
    </row>
    <row r="75" spans="1:9" x14ac:dyDescent="0.25">
      <c r="A75" s="1">
        <v>44287</v>
      </c>
      <c r="B75" t="s">
        <v>53</v>
      </c>
      <c r="C75" t="s">
        <v>54</v>
      </c>
      <c r="D75" t="s">
        <v>55</v>
      </c>
      <c r="E75" t="s">
        <v>22</v>
      </c>
      <c r="F75" s="4">
        <v>1696.8</v>
      </c>
      <c r="G75" t="s">
        <v>43</v>
      </c>
      <c r="H75">
        <v>15000</v>
      </c>
      <c r="I75" s="4">
        <f>IF(F75&gt;=H75,F75*'All Sales'!$L$2,0)</f>
        <v>0</v>
      </c>
    </row>
    <row r="76" spans="1:9" x14ac:dyDescent="0.25">
      <c r="A76" s="1">
        <v>44287</v>
      </c>
      <c r="B76" t="s">
        <v>53</v>
      </c>
      <c r="C76" t="s">
        <v>54</v>
      </c>
      <c r="D76" t="s">
        <v>55</v>
      </c>
      <c r="E76" t="s">
        <v>22</v>
      </c>
      <c r="F76" s="4">
        <v>569.64</v>
      </c>
      <c r="G76" t="s">
        <v>11</v>
      </c>
      <c r="H76">
        <v>15000</v>
      </c>
      <c r="I76" s="4">
        <f>IF(F76&gt;=H76,F76*'All Sales'!$L$2,0)</f>
        <v>0</v>
      </c>
    </row>
    <row r="77" spans="1:9" x14ac:dyDescent="0.25">
      <c r="A77" s="1">
        <v>44287</v>
      </c>
      <c r="B77" t="s">
        <v>53</v>
      </c>
      <c r="C77" t="s">
        <v>54</v>
      </c>
      <c r="D77" t="s">
        <v>55</v>
      </c>
      <c r="E77" t="s">
        <v>22</v>
      </c>
      <c r="F77" s="4">
        <v>1818.84</v>
      </c>
      <c r="G77" t="s">
        <v>15</v>
      </c>
      <c r="H77">
        <v>15000</v>
      </c>
      <c r="I77" s="4">
        <f>IF(F77&gt;=H77,F77*'All Sales'!$L$2,0)</f>
        <v>0</v>
      </c>
    </row>
    <row r="78" spans="1:9" x14ac:dyDescent="0.25">
      <c r="A78" s="1">
        <v>44287</v>
      </c>
      <c r="B78" t="s">
        <v>44</v>
      </c>
      <c r="C78" t="s">
        <v>45</v>
      </c>
      <c r="D78" t="s">
        <v>46</v>
      </c>
      <c r="E78" t="s">
        <v>22</v>
      </c>
      <c r="F78" s="4">
        <v>1799.35</v>
      </c>
      <c r="G78" t="s">
        <v>11</v>
      </c>
      <c r="H78">
        <v>15000</v>
      </c>
      <c r="I78" s="4">
        <f>IF(F78&gt;=H78,F78*'All Sales'!$L$2,0)</f>
        <v>0</v>
      </c>
    </row>
    <row r="79" spans="1:9" x14ac:dyDescent="0.25">
      <c r="A79" s="1">
        <v>44287</v>
      </c>
      <c r="B79" t="s">
        <v>19</v>
      </c>
      <c r="C79" t="s">
        <v>20</v>
      </c>
      <c r="D79" t="s">
        <v>21</v>
      </c>
      <c r="E79" t="s">
        <v>22</v>
      </c>
      <c r="F79" s="4">
        <v>1649.94</v>
      </c>
      <c r="G79" t="s">
        <v>15</v>
      </c>
      <c r="H79">
        <v>15000</v>
      </c>
      <c r="I79" s="4">
        <f>IF(F79&gt;=H79,F79*'All Sales'!$L$2,0)</f>
        <v>0</v>
      </c>
    </row>
    <row r="80" spans="1:9" x14ac:dyDescent="0.25">
      <c r="A80" s="1">
        <v>44287</v>
      </c>
      <c r="B80" t="s">
        <v>65</v>
      </c>
      <c r="C80" t="s">
        <v>66</v>
      </c>
      <c r="D80" t="s">
        <v>67</v>
      </c>
      <c r="E80" t="s">
        <v>22</v>
      </c>
      <c r="F80" s="4">
        <v>1441.6</v>
      </c>
      <c r="G80" t="s">
        <v>43</v>
      </c>
      <c r="H80">
        <v>15000</v>
      </c>
      <c r="I80" s="4">
        <f>IF(F80&gt;=H80,F80*'All Sales'!$L$2,0)</f>
        <v>0</v>
      </c>
    </row>
    <row r="81" spans="1:9" x14ac:dyDescent="0.25">
      <c r="A81" s="1">
        <v>44287</v>
      </c>
      <c r="B81" t="s">
        <v>53</v>
      </c>
      <c r="C81" t="s">
        <v>54</v>
      </c>
      <c r="D81" t="s">
        <v>55</v>
      </c>
      <c r="E81" t="s">
        <v>22</v>
      </c>
      <c r="F81" s="4">
        <v>5696.4</v>
      </c>
      <c r="G81" t="s">
        <v>11</v>
      </c>
      <c r="H81">
        <v>15000</v>
      </c>
      <c r="I81" s="4">
        <f>IF(F81&gt;=H81,F81*'All Sales'!$L$2,0)</f>
        <v>0</v>
      </c>
    </row>
    <row r="82" spans="1:9" x14ac:dyDescent="0.25">
      <c r="A82" s="1">
        <v>44287</v>
      </c>
      <c r="B82" t="s">
        <v>19</v>
      </c>
      <c r="C82" t="s">
        <v>20</v>
      </c>
      <c r="D82" t="s">
        <v>21</v>
      </c>
      <c r="E82" t="s">
        <v>22</v>
      </c>
      <c r="F82" s="4">
        <v>11716.5</v>
      </c>
      <c r="G82" t="s">
        <v>11</v>
      </c>
      <c r="H82">
        <v>15000</v>
      </c>
      <c r="I82" s="4">
        <f>IF(F82&gt;=H82,F82*'All Sales'!$L$2,0)</f>
        <v>0</v>
      </c>
    </row>
    <row r="83" spans="1:9" x14ac:dyDescent="0.25">
      <c r="A83" s="1">
        <v>44287</v>
      </c>
      <c r="B83" t="s">
        <v>65</v>
      </c>
      <c r="C83" t="s">
        <v>66</v>
      </c>
      <c r="D83" t="s">
        <v>67</v>
      </c>
      <c r="E83" t="s">
        <v>22</v>
      </c>
      <c r="F83" s="4">
        <v>14416</v>
      </c>
      <c r="G83" t="s">
        <v>43</v>
      </c>
      <c r="H83">
        <v>15000</v>
      </c>
      <c r="I83" s="4">
        <f>IF(F83&gt;=H83,F83*'All Sales'!$L$2,0)</f>
        <v>0</v>
      </c>
    </row>
    <row r="84" spans="1:9" x14ac:dyDescent="0.25">
      <c r="A84" s="1">
        <v>44287</v>
      </c>
      <c r="B84" t="s">
        <v>19</v>
      </c>
      <c r="C84" t="s">
        <v>20</v>
      </c>
      <c r="D84" t="s">
        <v>21</v>
      </c>
      <c r="E84" t="s">
        <v>22</v>
      </c>
      <c r="F84" s="4">
        <v>16499.400000000001</v>
      </c>
      <c r="G84" t="s">
        <v>15</v>
      </c>
      <c r="H84">
        <v>15000</v>
      </c>
      <c r="I84" s="4">
        <f>IF(F84&gt;=H84,F84*'All Sales'!$L$2,0)</f>
        <v>1649.9400000000003</v>
      </c>
    </row>
    <row r="85" spans="1:9" x14ac:dyDescent="0.25">
      <c r="A85" s="1">
        <v>44287</v>
      </c>
      <c r="B85" t="s">
        <v>53</v>
      </c>
      <c r="C85" t="s">
        <v>54</v>
      </c>
      <c r="D85" t="s">
        <v>55</v>
      </c>
      <c r="E85" t="s">
        <v>22</v>
      </c>
      <c r="F85" s="4">
        <v>16968</v>
      </c>
      <c r="G85" t="s">
        <v>43</v>
      </c>
      <c r="H85">
        <v>15000</v>
      </c>
      <c r="I85" s="4">
        <f>IF(F85&gt;=H85,F85*'All Sales'!$L$2,0)</f>
        <v>1696.8000000000002</v>
      </c>
    </row>
    <row r="86" spans="1:9" x14ac:dyDescent="0.25">
      <c r="A86" s="1">
        <v>44287</v>
      </c>
      <c r="B86" t="s">
        <v>44</v>
      </c>
      <c r="C86" t="s">
        <v>45</v>
      </c>
      <c r="D86" t="s">
        <v>46</v>
      </c>
      <c r="E86" t="s">
        <v>22</v>
      </c>
      <c r="F86" s="4">
        <v>17993.5</v>
      </c>
      <c r="G86" t="s">
        <v>11</v>
      </c>
      <c r="H86">
        <v>15000</v>
      </c>
      <c r="I86" s="4">
        <f>IF(F86&gt;=H86,F86*'All Sales'!$L$2,0)</f>
        <v>1799.3500000000001</v>
      </c>
    </row>
    <row r="87" spans="1:9" x14ac:dyDescent="0.25">
      <c r="A87" s="1">
        <v>44287</v>
      </c>
      <c r="B87" t="s">
        <v>53</v>
      </c>
      <c r="C87" t="s">
        <v>54</v>
      </c>
      <c r="D87" t="s">
        <v>55</v>
      </c>
      <c r="E87" t="s">
        <v>22</v>
      </c>
      <c r="F87" s="4">
        <v>18188.399999999998</v>
      </c>
      <c r="G87" t="s">
        <v>15</v>
      </c>
      <c r="H87">
        <v>15000</v>
      </c>
      <c r="I87" s="4">
        <f>IF(F87&gt;=H87,F87*'All Sales'!$L$2,0)</f>
        <v>1818.84</v>
      </c>
    </row>
    <row r="88" spans="1:9" x14ac:dyDescent="0.25">
      <c r="A88" s="1">
        <v>44317</v>
      </c>
      <c r="B88" t="s">
        <v>65</v>
      </c>
      <c r="C88" t="s">
        <v>66</v>
      </c>
      <c r="D88" t="s">
        <v>67</v>
      </c>
      <c r="E88" t="s">
        <v>22</v>
      </c>
      <c r="F88" s="4">
        <v>900.48</v>
      </c>
      <c r="G88" t="s">
        <v>11</v>
      </c>
      <c r="H88">
        <v>15000</v>
      </c>
      <c r="I88" s="4">
        <f>IF(F88&gt;=H88,F88*'All Sales'!$L$2,0)</f>
        <v>0</v>
      </c>
    </row>
    <row r="89" spans="1:9" x14ac:dyDescent="0.25">
      <c r="A89" s="1">
        <v>44317</v>
      </c>
      <c r="B89" t="s">
        <v>65</v>
      </c>
      <c r="C89" t="s">
        <v>66</v>
      </c>
      <c r="D89" t="s">
        <v>67</v>
      </c>
      <c r="E89" t="s">
        <v>22</v>
      </c>
      <c r="F89" s="4">
        <v>4224.91</v>
      </c>
      <c r="G89" t="s">
        <v>15</v>
      </c>
      <c r="H89">
        <v>15000</v>
      </c>
      <c r="I89" s="4">
        <f>IF(F89&gt;=H89,F89*'All Sales'!$L$2,0)</f>
        <v>0</v>
      </c>
    </row>
    <row r="90" spans="1:9" x14ac:dyDescent="0.25">
      <c r="A90" s="1">
        <v>44317</v>
      </c>
      <c r="B90" t="s">
        <v>53</v>
      </c>
      <c r="C90" t="s">
        <v>54</v>
      </c>
      <c r="D90" t="s">
        <v>55</v>
      </c>
      <c r="E90" t="s">
        <v>22</v>
      </c>
      <c r="F90" s="4">
        <v>2399.7600000000002</v>
      </c>
      <c r="G90" t="s">
        <v>11</v>
      </c>
      <c r="H90">
        <v>15000</v>
      </c>
      <c r="I90" s="4">
        <f>IF(F90&gt;=H90,F90*'All Sales'!$L$2,0)</f>
        <v>0</v>
      </c>
    </row>
    <row r="91" spans="1:9" x14ac:dyDescent="0.25">
      <c r="A91" s="1">
        <v>44317</v>
      </c>
      <c r="B91" t="s">
        <v>65</v>
      </c>
      <c r="C91" t="s">
        <v>66</v>
      </c>
      <c r="D91" t="s">
        <v>67</v>
      </c>
      <c r="E91" t="s">
        <v>22</v>
      </c>
      <c r="F91" s="4">
        <v>2791.64</v>
      </c>
      <c r="G91" t="s">
        <v>43</v>
      </c>
      <c r="H91">
        <v>15000</v>
      </c>
      <c r="I91" s="4">
        <f>IF(F91&gt;=H91,F91*'All Sales'!$L$2,0)</f>
        <v>0</v>
      </c>
    </row>
    <row r="92" spans="1:9" x14ac:dyDescent="0.25">
      <c r="A92" s="1">
        <v>44317</v>
      </c>
      <c r="B92" t="s">
        <v>44</v>
      </c>
      <c r="C92" t="s">
        <v>45</v>
      </c>
      <c r="D92" t="s">
        <v>46</v>
      </c>
      <c r="E92" t="s">
        <v>22</v>
      </c>
      <c r="F92" s="4">
        <v>2071.7599999999998</v>
      </c>
      <c r="G92" t="s">
        <v>15</v>
      </c>
      <c r="H92">
        <v>15000</v>
      </c>
      <c r="I92" s="4">
        <f>IF(F92&gt;=H92,F92*'All Sales'!$L$2,0)</f>
        <v>0</v>
      </c>
    </row>
    <row r="93" spans="1:9" x14ac:dyDescent="0.25">
      <c r="A93" s="1">
        <v>44317</v>
      </c>
      <c r="B93" t="s">
        <v>53</v>
      </c>
      <c r="C93" t="s">
        <v>54</v>
      </c>
      <c r="D93" t="s">
        <v>55</v>
      </c>
      <c r="E93" t="s">
        <v>22</v>
      </c>
      <c r="F93" s="4">
        <v>1983.64</v>
      </c>
      <c r="G93" t="s">
        <v>11</v>
      </c>
      <c r="H93">
        <v>15000</v>
      </c>
      <c r="I93" s="4">
        <f>IF(F93&gt;=H93,F93*'All Sales'!$L$2,0)</f>
        <v>0</v>
      </c>
    </row>
    <row r="94" spans="1:9" x14ac:dyDescent="0.25">
      <c r="A94" s="1">
        <v>44317</v>
      </c>
      <c r="B94" t="s">
        <v>53</v>
      </c>
      <c r="C94" t="s">
        <v>54</v>
      </c>
      <c r="D94" t="s">
        <v>55</v>
      </c>
      <c r="E94" t="s">
        <v>22</v>
      </c>
      <c r="F94" s="4">
        <v>1961.75</v>
      </c>
      <c r="G94" t="s">
        <v>43</v>
      </c>
      <c r="H94">
        <v>15000</v>
      </c>
      <c r="I94" s="4">
        <f>IF(F94&gt;=H94,F94*'All Sales'!$L$2,0)</f>
        <v>0</v>
      </c>
    </row>
    <row r="95" spans="1:9" x14ac:dyDescent="0.25">
      <c r="A95" s="1">
        <v>44317</v>
      </c>
      <c r="B95" t="s">
        <v>53</v>
      </c>
      <c r="C95" t="s">
        <v>54</v>
      </c>
      <c r="D95" t="s">
        <v>55</v>
      </c>
      <c r="E95" t="s">
        <v>22</v>
      </c>
      <c r="F95" s="4">
        <v>1882.64</v>
      </c>
      <c r="G95" t="s">
        <v>43</v>
      </c>
      <c r="H95">
        <v>15000</v>
      </c>
      <c r="I95" s="4">
        <f>IF(F95&gt;=H95,F95*'All Sales'!$L$2,0)</f>
        <v>0</v>
      </c>
    </row>
    <row r="96" spans="1:9" x14ac:dyDescent="0.25">
      <c r="A96" s="1">
        <v>44317</v>
      </c>
      <c r="B96" t="s">
        <v>37</v>
      </c>
      <c r="C96" t="s">
        <v>38</v>
      </c>
      <c r="D96" t="s">
        <v>39</v>
      </c>
      <c r="E96" t="s">
        <v>22</v>
      </c>
      <c r="F96" s="4">
        <v>2336.4</v>
      </c>
      <c r="G96" t="s">
        <v>15</v>
      </c>
      <c r="H96">
        <v>15000</v>
      </c>
      <c r="I96" s="4">
        <f>IF(F96&gt;=H96,F96*'All Sales'!$L$2,0)</f>
        <v>0</v>
      </c>
    </row>
    <row r="97" spans="1:9" x14ac:dyDescent="0.25">
      <c r="A97" s="1">
        <v>44317</v>
      </c>
      <c r="B97" t="s">
        <v>65</v>
      </c>
      <c r="C97" t="s">
        <v>66</v>
      </c>
      <c r="D97" t="s">
        <v>67</v>
      </c>
      <c r="E97" t="s">
        <v>22</v>
      </c>
      <c r="F97" s="4">
        <v>9004.7999999999993</v>
      </c>
      <c r="G97" t="s">
        <v>11</v>
      </c>
      <c r="H97">
        <v>15000</v>
      </c>
      <c r="I97" s="4">
        <f>IF(F97&gt;=H97,F97*'All Sales'!$L$2,0)</f>
        <v>0</v>
      </c>
    </row>
    <row r="98" spans="1:9" x14ac:dyDescent="0.25">
      <c r="A98" s="1">
        <v>44317</v>
      </c>
      <c r="B98" t="s">
        <v>53</v>
      </c>
      <c r="C98" t="s">
        <v>54</v>
      </c>
      <c r="D98" t="s">
        <v>55</v>
      </c>
      <c r="E98" t="s">
        <v>22</v>
      </c>
      <c r="F98" s="4">
        <v>18826.400000000001</v>
      </c>
      <c r="G98" t="s">
        <v>43</v>
      </c>
      <c r="H98">
        <v>15000</v>
      </c>
      <c r="I98" s="4">
        <f>IF(F98&gt;=H98,F98*'All Sales'!$L$2,0)</f>
        <v>1882.6400000000003</v>
      </c>
    </row>
    <row r="99" spans="1:9" x14ac:dyDescent="0.25">
      <c r="A99" s="1">
        <v>44317</v>
      </c>
      <c r="B99" t="s">
        <v>53</v>
      </c>
      <c r="C99" t="s">
        <v>54</v>
      </c>
      <c r="D99" t="s">
        <v>55</v>
      </c>
      <c r="E99" t="s">
        <v>22</v>
      </c>
      <c r="F99" s="4">
        <v>19617.5</v>
      </c>
      <c r="G99" t="s">
        <v>43</v>
      </c>
      <c r="H99">
        <v>15000</v>
      </c>
      <c r="I99" s="4">
        <f>IF(F99&gt;=H99,F99*'All Sales'!$L$2,0)</f>
        <v>1961.75</v>
      </c>
    </row>
    <row r="100" spans="1:9" x14ac:dyDescent="0.25">
      <c r="A100" s="1">
        <v>44317</v>
      </c>
      <c r="B100" t="s">
        <v>53</v>
      </c>
      <c r="C100" t="s">
        <v>54</v>
      </c>
      <c r="D100" t="s">
        <v>55</v>
      </c>
      <c r="E100" t="s">
        <v>22</v>
      </c>
      <c r="F100" s="4">
        <v>19836.400000000001</v>
      </c>
      <c r="G100" t="s">
        <v>11</v>
      </c>
      <c r="H100">
        <v>15000</v>
      </c>
      <c r="I100" s="4">
        <f>IF(F100&gt;=H100,F100*'All Sales'!$L$2,0)</f>
        <v>1983.6400000000003</v>
      </c>
    </row>
    <row r="101" spans="1:9" x14ac:dyDescent="0.25">
      <c r="A101" s="1">
        <v>44317</v>
      </c>
      <c r="B101" t="s">
        <v>44</v>
      </c>
      <c r="C101" t="s">
        <v>45</v>
      </c>
      <c r="D101" t="s">
        <v>46</v>
      </c>
      <c r="E101" t="s">
        <v>22</v>
      </c>
      <c r="F101" s="4">
        <v>20717.599999999999</v>
      </c>
      <c r="G101" t="s">
        <v>15</v>
      </c>
      <c r="H101">
        <v>15000</v>
      </c>
      <c r="I101" s="4">
        <f>IF(F101&gt;=H101,F101*'All Sales'!$L$2,0)</f>
        <v>2071.7599999999998</v>
      </c>
    </row>
    <row r="102" spans="1:9" x14ac:dyDescent="0.25">
      <c r="A102" s="1">
        <v>44317</v>
      </c>
      <c r="B102" t="s">
        <v>37</v>
      </c>
      <c r="C102" t="s">
        <v>38</v>
      </c>
      <c r="D102" t="s">
        <v>39</v>
      </c>
      <c r="E102" t="s">
        <v>22</v>
      </c>
      <c r="F102" s="4">
        <v>23364</v>
      </c>
      <c r="G102" t="s">
        <v>15</v>
      </c>
      <c r="H102">
        <v>15000</v>
      </c>
      <c r="I102" s="4">
        <f>IF(F102&gt;=H102,F102*'All Sales'!$L$2,0)</f>
        <v>2336.4</v>
      </c>
    </row>
    <row r="103" spans="1:9" x14ac:dyDescent="0.25">
      <c r="A103" s="1">
        <v>44317</v>
      </c>
      <c r="B103" t="s">
        <v>53</v>
      </c>
      <c r="C103" t="s">
        <v>54</v>
      </c>
      <c r="D103" t="s">
        <v>55</v>
      </c>
      <c r="E103" t="s">
        <v>22</v>
      </c>
      <c r="F103" s="4">
        <v>23997.600000000002</v>
      </c>
      <c r="G103" t="s">
        <v>11</v>
      </c>
      <c r="H103">
        <v>15000</v>
      </c>
      <c r="I103" s="4">
        <f>IF(F103&gt;=H103,F103*'All Sales'!$L$2,0)</f>
        <v>2399.7600000000002</v>
      </c>
    </row>
    <row r="104" spans="1:9" x14ac:dyDescent="0.25">
      <c r="A104" s="1">
        <v>44317</v>
      </c>
      <c r="B104" t="s">
        <v>65</v>
      </c>
      <c r="C104" t="s">
        <v>66</v>
      </c>
      <c r="D104" t="s">
        <v>67</v>
      </c>
      <c r="E104" t="s">
        <v>22</v>
      </c>
      <c r="F104" s="4">
        <v>27916.399999999998</v>
      </c>
      <c r="G104" t="s">
        <v>43</v>
      </c>
      <c r="H104">
        <v>15000</v>
      </c>
      <c r="I104" s="4">
        <f>IF(F104&gt;=H104,F104*'All Sales'!$L$2,0)</f>
        <v>2791.64</v>
      </c>
    </row>
    <row r="105" spans="1:9" x14ac:dyDescent="0.25">
      <c r="A105" s="1">
        <v>44317</v>
      </c>
      <c r="B105" t="s">
        <v>65</v>
      </c>
      <c r="C105" t="s">
        <v>66</v>
      </c>
      <c r="D105" t="s">
        <v>67</v>
      </c>
      <c r="E105" t="s">
        <v>22</v>
      </c>
      <c r="F105" s="4">
        <v>42249.1</v>
      </c>
      <c r="G105" t="s">
        <v>15</v>
      </c>
      <c r="H105">
        <v>15000</v>
      </c>
      <c r="I105" s="4">
        <f>IF(F105&gt;=H105,F105*'All Sales'!$L$2,0)</f>
        <v>4224.91</v>
      </c>
    </row>
    <row r="106" spans="1:9" x14ac:dyDescent="0.25">
      <c r="A106" s="1">
        <v>44348</v>
      </c>
      <c r="B106" t="s">
        <v>44</v>
      </c>
      <c r="C106" t="s">
        <v>45</v>
      </c>
      <c r="D106" t="s">
        <v>46</v>
      </c>
      <c r="E106" t="s">
        <v>22</v>
      </c>
      <c r="F106" s="4">
        <v>957.48</v>
      </c>
      <c r="G106" t="s">
        <v>15</v>
      </c>
      <c r="H106">
        <v>15000</v>
      </c>
      <c r="I106" s="4">
        <f>IF(F106&gt;=H106,F106*'All Sales'!$L$2,0)</f>
        <v>0</v>
      </c>
    </row>
    <row r="107" spans="1:9" x14ac:dyDescent="0.25">
      <c r="A107" s="1">
        <v>44348</v>
      </c>
      <c r="B107" t="s">
        <v>37</v>
      </c>
      <c r="C107" t="s">
        <v>38</v>
      </c>
      <c r="D107" t="s">
        <v>39</v>
      </c>
      <c r="E107" t="s">
        <v>22</v>
      </c>
      <c r="F107" s="4">
        <v>1506.1200000000001</v>
      </c>
      <c r="G107" t="s">
        <v>15</v>
      </c>
      <c r="H107">
        <v>15000</v>
      </c>
      <c r="I107" s="4">
        <f>IF(F107&gt;=H107,F107*'All Sales'!$L$2,0)</f>
        <v>0</v>
      </c>
    </row>
    <row r="108" spans="1:9" x14ac:dyDescent="0.25">
      <c r="A108" s="1">
        <v>44348</v>
      </c>
      <c r="B108" t="s">
        <v>37</v>
      </c>
      <c r="C108" t="s">
        <v>38</v>
      </c>
      <c r="D108" t="s">
        <v>39</v>
      </c>
      <c r="E108" t="s">
        <v>22</v>
      </c>
      <c r="F108" s="4">
        <v>3965.3900000000003</v>
      </c>
      <c r="G108" t="s">
        <v>43</v>
      </c>
      <c r="H108">
        <v>15000</v>
      </c>
      <c r="I108" s="4">
        <f>IF(F108&gt;=H108,F108*'All Sales'!$L$2,0)</f>
        <v>0</v>
      </c>
    </row>
    <row r="109" spans="1:9" x14ac:dyDescent="0.25">
      <c r="A109" s="1">
        <v>44348</v>
      </c>
      <c r="B109" t="s">
        <v>65</v>
      </c>
      <c r="C109" t="s">
        <v>66</v>
      </c>
      <c r="D109" t="s">
        <v>67</v>
      </c>
      <c r="E109" t="s">
        <v>22</v>
      </c>
      <c r="F109" s="4">
        <v>3719.25</v>
      </c>
      <c r="G109" t="s">
        <v>43</v>
      </c>
      <c r="H109">
        <v>15000</v>
      </c>
      <c r="I109" s="4">
        <f>IF(F109&gt;=H109,F109*'All Sales'!$L$2,0)</f>
        <v>0</v>
      </c>
    </row>
    <row r="110" spans="1:9" x14ac:dyDescent="0.25">
      <c r="A110" s="1">
        <v>44348</v>
      </c>
      <c r="B110" t="s">
        <v>44</v>
      </c>
      <c r="C110" t="s">
        <v>45</v>
      </c>
      <c r="D110" t="s">
        <v>46</v>
      </c>
      <c r="E110" t="s">
        <v>22</v>
      </c>
      <c r="F110" s="4">
        <v>1430.16</v>
      </c>
      <c r="G110" t="s">
        <v>15</v>
      </c>
      <c r="H110">
        <v>15000</v>
      </c>
      <c r="I110" s="4">
        <f>IF(F110&gt;=H110,F110*'All Sales'!$L$2,0)</f>
        <v>0</v>
      </c>
    </row>
    <row r="111" spans="1:9" x14ac:dyDescent="0.25">
      <c r="A111" s="1">
        <v>44348</v>
      </c>
      <c r="B111" t="s">
        <v>53</v>
      </c>
      <c r="C111" t="s">
        <v>54</v>
      </c>
      <c r="D111" t="s">
        <v>55</v>
      </c>
      <c r="E111" t="s">
        <v>22</v>
      </c>
      <c r="F111" s="4">
        <v>1726.2</v>
      </c>
      <c r="G111" t="s">
        <v>15</v>
      </c>
      <c r="H111">
        <v>15000</v>
      </c>
      <c r="I111" s="4">
        <f>IF(F111&gt;=H111,F111*'All Sales'!$L$2,0)</f>
        <v>0</v>
      </c>
    </row>
    <row r="112" spans="1:9" x14ac:dyDescent="0.25">
      <c r="A112" s="1">
        <v>44348</v>
      </c>
      <c r="B112" t="s">
        <v>44</v>
      </c>
      <c r="C112" t="s">
        <v>45</v>
      </c>
      <c r="D112" t="s">
        <v>46</v>
      </c>
      <c r="E112" t="s">
        <v>22</v>
      </c>
      <c r="F112" s="4">
        <v>9574.7999999999993</v>
      </c>
      <c r="G112" t="s">
        <v>15</v>
      </c>
      <c r="H112">
        <v>15000</v>
      </c>
      <c r="I112" s="4">
        <f>IF(F112&gt;=H112,F112*'All Sales'!$L$2,0)</f>
        <v>0</v>
      </c>
    </row>
    <row r="113" spans="1:9" x14ac:dyDescent="0.25">
      <c r="A113" s="1">
        <v>44348</v>
      </c>
      <c r="B113" t="s">
        <v>44</v>
      </c>
      <c r="C113" t="s">
        <v>45</v>
      </c>
      <c r="D113" t="s">
        <v>46</v>
      </c>
      <c r="E113" t="s">
        <v>22</v>
      </c>
      <c r="F113" s="4">
        <v>14301.6</v>
      </c>
      <c r="G113" t="s">
        <v>15</v>
      </c>
      <c r="H113">
        <v>15000</v>
      </c>
      <c r="I113" s="4">
        <f>IF(F113&gt;=H113,F113*'All Sales'!$L$2,0)</f>
        <v>0</v>
      </c>
    </row>
    <row r="114" spans="1:9" x14ac:dyDescent="0.25">
      <c r="A114" s="1">
        <v>44348</v>
      </c>
      <c r="B114" t="s">
        <v>37</v>
      </c>
      <c r="C114" t="s">
        <v>38</v>
      </c>
      <c r="D114" t="s">
        <v>39</v>
      </c>
      <c r="E114" t="s">
        <v>22</v>
      </c>
      <c r="F114" s="4">
        <v>15061.2</v>
      </c>
      <c r="G114" t="s">
        <v>15</v>
      </c>
      <c r="H114">
        <v>15000</v>
      </c>
      <c r="I114" s="4">
        <f>IF(F114&gt;=H114,F114*'All Sales'!$L$2,0)</f>
        <v>1506.1200000000001</v>
      </c>
    </row>
    <row r="115" spans="1:9" x14ac:dyDescent="0.25">
      <c r="A115" s="1">
        <v>44348</v>
      </c>
      <c r="B115" t="s">
        <v>53</v>
      </c>
      <c r="C115" t="s">
        <v>54</v>
      </c>
      <c r="D115" t="s">
        <v>55</v>
      </c>
      <c r="E115" t="s">
        <v>22</v>
      </c>
      <c r="F115" s="4">
        <v>17262</v>
      </c>
      <c r="G115" t="s">
        <v>15</v>
      </c>
      <c r="H115">
        <v>15000</v>
      </c>
      <c r="I115" s="4">
        <f>IF(F115&gt;=H115,F115*'All Sales'!$L$2,0)</f>
        <v>1726.2</v>
      </c>
    </row>
    <row r="116" spans="1:9" x14ac:dyDescent="0.25">
      <c r="A116" s="1">
        <v>44348</v>
      </c>
      <c r="B116" t="s">
        <v>65</v>
      </c>
      <c r="C116" t="s">
        <v>66</v>
      </c>
      <c r="D116" t="s">
        <v>67</v>
      </c>
      <c r="E116" t="s">
        <v>22</v>
      </c>
      <c r="F116" s="4">
        <v>37192.5</v>
      </c>
      <c r="G116" t="s">
        <v>43</v>
      </c>
      <c r="H116">
        <v>15000</v>
      </c>
      <c r="I116" s="4">
        <f>IF(F116&gt;=H116,F116*'All Sales'!$L$2,0)</f>
        <v>3719.25</v>
      </c>
    </row>
    <row r="117" spans="1:9" x14ac:dyDescent="0.25">
      <c r="A117" s="1">
        <v>44348</v>
      </c>
      <c r="B117" t="s">
        <v>37</v>
      </c>
      <c r="C117" t="s">
        <v>38</v>
      </c>
      <c r="D117" t="s">
        <v>39</v>
      </c>
      <c r="E117" t="s">
        <v>22</v>
      </c>
      <c r="F117" s="4">
        <v>39653.9</v>
      </c>
      <c r="G117" t="s">
        <v>43</v>
      </c>
      <c r="H117">
        <v>15000</v>
      </c>
      <c r="I117" s="4">
        <f>IF(F117&gt;=H117,F117*'All Sales'!$L$2,0)</f>
        <v>3965.3900000000003</v>
      </c>
    </row>
    <row r="118" spans="1:9" x14ac:dyDescent="0.25">
      <c r="A118" s="1">
        <v>44378</v>
      </c>
      <c r="B118" t="s">
        <v>53</v>
      </c>
      <c r="C118" t="s">
        <v>54</v>
      </c>
      <c r="D118" t="s">
        <v>55</v>
      </c>
      <c r="E118" t="s">
        <v>22</v>
      </c>
      <c r="F118" s="4">
        <v>533.28</v>
      </c>
      <c r="G118" t="s">
        <v>15</v>
      </c>
      <c r="H118">
        <v>15000</v>
      </c>
      <c r="I118" s="4">
        <f>IF(F118&gt;=H118,F118*'All Sales'!$L$2,0)</f>
        <v>0</v>
      </c>
    </row>
    <row r="119" spans="1:9" x14ac:dyDescent="0.25">
      <c r="A119" s="1">
        <v>44378</v>
      </c>
      <c r="B119" t="s">
        <v>37</v>
      </c>
      <c r="C119" t="s">
        <v>38</v>
      </c>
      <c r="D119" t="s">
        <v>39</v>
      </c>
      <c r="E119" t="s">
        <v>22</v>
      </c>
      <c r="F119" s="4">
        <v>346.5</v>
      </c>
      <c r="G119" t="s">
        <v>15</v>
      </c>
      <c r="H119">
        <v>15000</v>
      </c>
      <c r="I119" s="4">
        <f>IF(F119&gt;=H119,F119*'All Sales'!$L$2,0)</f>
        <v>0</v>
      </c>
    </row>
    <row r="120" spans="1:9" x14ac:dyDescent="0.25">
      <c r="A120" s="1">
        <v>44378</v>
      </c>
      <c r="B120" t="s">
        <v>44</v>
      </c>
      <c r="C120" t="s">
        <v>45</v>
      </c>
      <c r="D120" t="s">
        <v>46</v>
      </c>
      <c r="E120" t="s">
        <v>22</v>
      </c>
      <c r="F120" s="4">
        <v>806.56</v>
      </c>
      <c r="G120" t="s">
        <v>43</v>
      </c>
      <c r="H120">
        <v>15000</v>
      </c>
      <c r="I120" s="4">
        <f>IF(F120&gt;=H120,F120*'All Sales'!$L$2,0)</f>
        <v>0</v>
      </c>
    </row>
    <row r="121" spans="1:9" x14ac:dyDescent="0.25">
      <c r="A121" s="1">
        <v>44378</v>
      </c>
      <c r="B121" t="s">
        <v>44</v>
      </c>
      <c r="C121" t="s">
        <v>45</v>
      </c>
      <c r="D121" t="s">
        <v>46</v>
      </c>
      <c r="E121" t="s">
        <v>22</v>
      </c>
      <c r="F121" s="4">
        <v>1154.3</v>
      </c>
      <c r="G121" t="s">
        <v>11</v>
      </c>
      <c r="H121">
        <v>15000</v>
      </c>
      <c r="I121" s="4">
        <f>IF(F121&gt;=H121,F121*'All Sales'!$L$2,0)</f>
        <v>0</v>
      </c>
    </row>
    <row r="122" spans="1:9" x14ac:dyDescent="0.25">
      <c r="A122" s="1">
        <v>44378</v>
      </c>
      <c r="B122" t="s">
        <v>65</v>
      </c>
      <c r="C122" t="s">
        <v>66</v>
      </c>
      <c r="D122" t="s">
        <v>67</v>
      </c>
      <c r="E122" t="s">
        <v>22</v>
      </c>
      <c r="F122" s="4">
        <v>1115.55</v>
      </c>
      <c r="G122" t="s">
        <v>11</v>
      </c>
      <c r="H122">
        <v>15000</v>
      </c>
      <c r="I122" s="4">
        <f>IF(F122&gt;=H122,F122*'All Sales'!$L$2,0)</f>
        <v>0</v>
      </c>
    </row>
    <row r="123" spans="1:9" x14ac:dyDescent="0.25">
      <c r="A123" s="1">
        <v>44378</v>
      </c>
      <c r="B123" t="s">
        <v>44</v>
      </c>
      <c r="C123" t="s">
        <v>45</v>
      </c>
      <c r="D123" t="s">
        <v>46</v>
      </c>
      <c r="E123" t="s">
        <v>22</v>
      </c>
      <c r="F123" s="4">
        <v>1064.8999999999999</v>
      </c>
      <c r="G123" t="s">
        <v>43</v>
      </c>
      <c r="H123">
        <v>15000</v>
      </c>
      <c r="I123" s="4">
        <f>IF(F123&gt;=H123,F123*'All Sales'!$L$2,0)</f>
        <v>0</v>
      </c>
    </row>
    <row r="124" spans="1:9" x14ac:dyDescent="0.25">
      <c r="A124" s="1">
        <v>44378</v>
      </c>
      <c r="B124" t="s">
        <v>44</v>
      </c>
      <c r="C124" t="s">
        <v>45</v>
      </c>
      <c r="D124" t="s">
        <v>46</v>
      </c>
      <c r="E124" t="s">
        <v>22</v>
      </c>
      <c r="F124" s="4">
        <v>2439.5100000000002</v>
      </c>
      <c r="G124" t="s">
        <v>11</v>
      </c>
      <c r="H124">
        <v>15000</v>
      </c>
      <c r="I124" s="4">
        <f>IF(F124&gt;=H124,F124*'All Sales'!$L$2,0)</f>
        <v>0</v>
      </c>
    </row>
    <row r="125" spans="1:9" x14ac:dyDescent="0.25">
      <c r="A125" s="1">
        <v>44378</v>
      </c>
      <c r="B125" t="s">
        <v>44</v>
      </c>
      <c r="C125" t="s">
        <v>45</v>
      </c>
      <c r="D125" t="s">
        <v>46</v>
      </c>
      <c r="E125" t="s">
        <v>22</v>
      </c>
      <c r="F125" s="4">
        <v>1563.32</v>
      </c>
      <c r="G125" t="s">
        <v>15</v>
      </c>
      <c r="H125">
        <v>15000</v>
      </c>
      <c r="I125" s="4">
        <f>IF(F125&gt;=H125,F125*'All Sales'!$L$2,0)</f>
        <v>0</v>
      </c>
    </row>
    <row r="126" spans="1:9" x14ac:dyDescent="0.25">
      <c r="A126" s="1">
        <v>44378</v>
      </c>
      <c r="B126" t="s">
        <v>53</v>
      </c>
      <c r="C126" t="s">
        <v>54</v>
      </c>
      <c r="D126" t="s">
        <v>55</v>
      </c>
      <c r="E126" t="s">
        <v>22</v>
      </c>
      <c r="F126" s="4">
        <v>1067.94</v>
      </c>
      <c r="G126" t="s">
        <v>43</v>
      </c>
      <c r="H126">
        <v>15000</v>
      </c>
      <c r="I126" s="4">
        <f>IF(F126&gt;=H126,F126*'All Sales'!$L$2,0)</f>
        <v>0</v>
      </c>
    </row>
    <row r="127" spans="1:9" x14ac:dyDescent="0.25">
      <c r="A127" s="1">
        <v>44378</v>
      </c>
      <c r="B127" t="s">
        <v>44</v>
      </c>
      <c r="C127" t="s">
        <v>45</v>
      </c>
      <c r="D127" t="s">
        <v>46</v>
      </c>
      <c r="E127" t="s">
        <v>22</v>
      </c>
      <c r="F127" s="4">
        <v>2086.8399999999997</v>
      </c>
      <c r="G127" t="s">
        <v>15</v>
      </c>
      <c r="H127">
        <v>15000</v>
      </c>
      <c r="I127" s="4">
        <f>IF(F127&gt;=H127,F127*'All Sales'!$L$2,0)</f>
        <v>0</v>
      </c>
    </row>
    <row r="128" spans="1:9" x14ac:dyDescent="0.25">
      <c r="A128" s="1">
        <v>44378</v>
      </c>
      <c r="B128" t="s">
        <v>44</v>
      </c>
      <c r="C128" t="s">
        <v>45</v>
      </c>
      <c r="D128" t="s">
        <v>46</v>
      </c>
      <c r="E128" t="s">
        <v>22</v>
      </c>
      <c r="F128" s="4">
        <v>1006.72</v>
      </c>
      <c r="G128" t="s">
        <v>43</v>
      </c>
      <c r="H128">
        <v>15000</v>
      </c>
      <c r="I128" s="4">
        <f>IF(F128&gt;=H128,F128*'All Sales'!$L$2,0)</f>
        <v>0</v>
      </c>
    </row>
    <row r="129" spans="1:9" x14ac:dyDescent="0.25">
      <c r="A129" s="1">
        <v>44378</v>
      </c>
      <c r="B129" t="s">
        <v>37</v>
      </c>
      <c r="C129" t="s">
        <v>38</v>
      </c>
      <c r="D129" t="s">
        <v>39</v>
      </c>
      <c r="E129" t="s">
        <v>22</v>
      </c>
      <c r="F129" s="4">
        <v>3465</v>
      </c>
      <c r="G129" t="s">
        <v>15</v>
      </c>
      <c r="H129">
        <v>15000</v>
      </c>
      <c r="I129" s="4">
        <f>IF(F129&gt;=H129,F129*'All Sales'!$L$2,0)</f>
        <v>0</v>
      </c>
    </row>
    <row r="130" spans="1:9" x14ac:dyDescent="0.25">
      <c r="A130" s="1">
        <v>44378</v>
      </c>
      <c r="B130" t="s">
        <v>53</v>
      </c>
      <c r="C130" t="s">
        <v>54</v>
      </c>
      <c r="D130" t="s">
        <v>55</v>
      </c>
      <c r="E130" t="s">
        <v>22</v>
      </c>
      <c r="F130" s="4">
        <v>5332.7999999999993</v>
      </c>
      <c r="G130" t="s">
        <v>15</v>
      </c>
      <c r="H130">
        <v>15000</v>
      </c>
      <c r="I130" s="4">
        <f>IF(F130&gt;=H130,F130*'All Sales'!$L$2,0)</f>
        <v>0</v>
      </c>
    </row>
    <row r="131" spans="1:9" x14ac:dyDescent="0.25">
      <c r="A131" s="1">
        <v>44378</v>
      </c>
      <c r="B131" t="s">
        <v>44</v>
      </c>
      <c r="C131" t="s">
        <v>45</v>
      </c>
      <c r="D131" t="s">
        <v>46</v>
      </c>
      <c r="E131" t="s">
        <v>22</v>
      </c>
      <c r="F131" s="4">
        <v>8065.5999999999995</v>
      </c>
      <c r="G131" t="s">
        <v>43</v>
      </c>
      <c r="H131">
        <v>15000</v>
      </c>
      <c r="I131" s="4">
        <f>IF(F131&gt;=H131,F131*'All Sales'!$L$2,0)</f>
        <v>0</v>
      </c>
    </row>
    <row r="132" spans="1:9" x14ac:dyDescent="0.25">
      <c r="A132" s="1">
        <v>44378</v>
      </c>
      <c r="B132" t="s">
        <v>44</v>
      </c>
      <c r="C132" t="s">
        <v>45</v>
      </c>
      <c r="D132" t="s">
        <v>46</v>
      </c>
      <c r="E132" t="s">
        <v>22</v>
      </c>
      <c r="F132" s="4">
        <v>10067.200000000001</v>
      </c>
      <c r="G132" t="s">
        <v>43</v>
      </c>
      <c r="H132">
        <v>15000</v>
      </c>
      <c r="I132" s="4">
        <f>IF(F132&gt;=H132,F132*'All Sales'!$L$2,0)</f>
        <v>0</v>
      </c>
    </row>
    <row r="133" spans="1:9" x14ac:dyDescent="0.25">
      <c r="A133" s="1">
        <v>44378</v>
      </c>
      <c r="B133" t="s">
        <v>44</v>
      </c>
      <c r="C133" t="s">
        <v>45</v>
      </c>
      <c r="D133" t="s">
        <v>46</v>
      </c>
      <c r="E133" t="s">
        <v>22</v>
      </c>
      <c r="F133" s="4">
        <v>10648.999999999998</v>
      </c>
      <c r="G133" t="s">
        <v>43</v>
      </c>
      <c r="H133">
        <v>15000</v>
      </c>
      <c r="I133" s="4">
        <f>IF(F133&gt;=H133,F133*'All Sales'!$L$2,0)</f>
        <v>0</v>
      </c>
    </row>
    <row r="134" spans="1:9" x14ac:dyDescent="0.25">
      <c r="A134" s="1">
        <v>44378</v>
      </c>
      <c r="B134" t="s">
        <v>53</v>
      </c>
      <c r="C134" t="s">
        <v>54</v>
      </c>
      <c r="D134" t="s">
        <v>55</v>
      </c>
      <c r="E134" t="s">
        <v>22</v>
      </c>
      <c r="F134" s="4">
        <v>10679.400000000001</v>
      </c>
      <c r="G134" t="s">
        <v>43</v>
      </c>
      <c r="H134">
        <v>15000</v>
      </c>
      <c r="I134" s="4">
        <f>IF(F134&gt;=H134,F134*'All Sales'!$L$2,0)</f>
        <v>0</v>
      </c>
    </row>
    <row r="135" spans="1:9" x14ac:dyDescent="0.25">
      <c r="A135" s="1">
        <v>44378</v>
      </c>
      <c r="B135" t="s">
        <v>65</v>
      </c>
      <c r="C135" t="s">
        <v>66</v>
      </c>
      <c r="D135" t="s">
        <v>67</v>
      </c>
      <c r="E135" t="s">
        <v>22</v>
      </c>
      <c r="F135" s="4">
        <v>11155.5</v>
      </c>
      <c r="G135" t="s">
        <v>11</v>
      </c>
      <c r="H135">
        <v>15000</v>
      </c>
      <c r="I135" s="4">
        <f>IF(F135&gt;=H135,F135*'All Sales'!$L$2,0)</f>
        <v>0</v>
      </c>
    </row>
    <row r="136" spans="1:9" x14ac:dyDescent="0.25">
      <c r="A136" s="1">
        <v>44378</v>
      </c>
      <c r="B136" t="s">
        <v>44</v>
      </c>
      <c r="C136" t="s">
        <v>45</v>
      </c>
      <c r="D136" t="s">
        <v>46</v>
      </c>
      <c r="E136" t="s">
        <v>22</v>
      </c>
      <c r="F136" s="4">
        <v>11543</v>
      </c>
      <c r="G136" t="s">
        <v>11</v>
      </c>
      <c r="H136">
        <v>15000</v>
      </c>
      <c r="I136" s="4">
        <f>IF(F136&gt;=H136,F136*'All Sales'!$L$2,0)</f>
        <v>0</v>
      </c>
    </row>
    <row r="137" spans="1:9" x14ac:dyDescent="0.25">
      <c r="A137" s="1">
        <v>44378</v>
      </c>
      <c r="B137" t="s">
        <v>44</v>
      </c>
      <c r="C137" t="s">
        <v>45</v>
      </c>
      <c r="D137" t="s">
        <v>46</v>
      </c>
      <c r="E137" t="s">
        <v>22</v>
      </c>
      <c r="F137" s="4">
        <v>15633.199999999999</v>
      </c>
      <c r="G137" t="s">
        <v>15</v>
      </c>
      <c r="H137">
        <v>15000</v>
      </c>
      <c r="I137" s="4">
        <f>IF(F137&gt;=H137,F137*'All Sales'!$L$2,0)</f>
        <v>1563.32</v>
      </c>
    </row>
    <row r="138" spans="1:9" x14ac:dyDescent="0.25">
      <c r="A138" s="1">
        <v>44378</v>
      </c>
      <c r="B138" t="s">
        <v>44</v>
      </c>
      <c r="C138" t="s">
        <v>45</v>
      </c>
      <c r="D138" t="s">
        <v>46</v>
      </c>
      <c r="E138" t="s">
        <v>22</v>
      </c>
      <c r="F138" s="4">
        <v>20868.399999999998</v>
      </c>
      <c r="G138" t="s">
        <v>15</v>
      </c>
      <c r="H138">
        <v>15000</v>
      </c>
      <c r="I138" s="4">
        <f>IF(F138&gt;=H138,F138*'All Sales'!$L$2,0)</f>
        <v>2086.8399999999997</v>
      </c>
    </row>
    <row r="139" spans="1:9" x14ac:dyDescent="0.25">
      <c r="A139" s="1">
        <v>44378</v>
      </c>
      <c r="B139" t="s">
        <v>44</v>
      </c>
      <c r="C139" t="s">
        <v>45</v>
      </c>
      <c r="D139" t="s">
        <v>46</v>
      </c>
      <c r="E139" t="s">
        <v>22</v>
      </c>
      <c r="F139" s="4">
        <v>24395.100000000002</v>
      </c>
      <c r="G139" t="s">
        <v>11</v>
      </c>
      <c r="H139">
        <v>15000</v>
      </c>
      <c r="I139" s="4">
        <f>IF(F139&gt;=H139,F139*'All Sales'!$L$2,0)</f>
        <v>2439.5100000000002</v>
      </c>
    </row>
    <row r="140" spans="1:9" x14ac:dyDescent="0.25">
      <c r="A140" s="1">
        <v>44409</v>
      </c>
      <c r="B140" t="s">
        <v>44</v>
      </c>
      <c r="C140" t="s">
        <v>45</v>
      </c>
      <c r="D140" t="s">
        <v>46</v>
      </c>
      <c r="E140" t="s">
        <v>22</v>
      </c>
      <c r="F140" s="4">
        <v>376.05</v>
      </c>
      <c r="G140" t="s">
        <v>11</v>
      </c>
      <c r="H140">
        <v>15000</v>
      </c>
      <c r="I140" s="4">
        <f>IF(F140&gt;=H140,F140*'All Sales'!$L$2,0)</f>
        <v>0</v>
      </c>
    </row>
    <row r="141" spans="1:9" x14ac:dyDescent="0.25">
      <c r="A141" s="1">
        <v>44409</v>
      </c>
      <c r="B141" t="s">
        <v>53</v>
      </c>
      <c r="C141" t="s">
        <v>54</v>
      </c>
      <c r="D141" t="s">
        <v>55</v>
      </c>
      <c r="E141" t="s">
        <v>22</v>
      </c>
      <c r="F141" s="4">
        <v>3608.81</v>
      </c>
      <c r="G141" t="s">
        <v>43</v>
      </c>
      <c r="H141">
        <v>15000</v>
      </c>
      <c r="I141" s="4">
        <f>IF(F141&gt;=H141,F141*'All Sales'!$L$2,0)</f>
        <v>0</v>
      </c>
    </row>
    <row r="142" spans="1:9" x14ac:dyDescent="0.25">
      <c r="A142" s="1">
        <v>44409</v>
      </c>
      <c r="B142" t="s">
        <v>44</v>
      </c>
      <c r="C142" t="s">
        <v>45</v>
      </c>
      <c r="D142" t="s">
        <v>46</v>
      </c>
      <c r="E142" t="s">
        <v>22</v>
      </c>
      <c r="F142" s="4">
        <v>969.76</v>
      </c>
      <c r="G142" t="s">
        <v>15</v>
      </c>
      <c r="H142">
        <v>15000</v>
      </c>
      <c r="I142" s="4">
        <f>IF(F142&gt;=H142,F142*'All Sales'!$L$2,0)</f>
        <v>0</v>
      </c>
    </row>
    <row r="143" spans="1:9" x14ac:dyDescent="0.25">
      <c r="A143" s="1">
        <v>44409</v>
      </c>
      <c r="B143" t="s">
        <v>53</v>
      </c>
      <c r="C143" t="s">
        <v>54</v>
      </c>
      <c r="D143" t="s">
        <v>55</v>
      </c>
      <c r="E143" t="s">
        <v>22</v>
      </c>
      <c r="F143" s="4">
        <v>2247.79</v>
      </c>
      <c r="G143" t="s">
        <v>15</v>
      </c>
      <c r="H143">
        <v>15000</v>
      </c>
      <c r="I143" s="4">
        <f>IF(F143&gt;=H143,F143*'All Sales'!$L$2,0)</f>
        <v>0</v>
      </c>
    </row>
    <row r="144" spans="1:9" x14ac:dyDescent="0.25">
      <c r="A144" s="1">
        <v>44409</v>
      </c>
      <c r="B144" t="s">
        <v>44</v>
      </c>
      <c r="C144" t="s">
        <v>45</v>
      </c>
      <c r="D144" t="s">
        <v>46</v>
      </c>
      <c r="E144" t="s">
        <v>22</v>
      </c>
      <c r="F144" s="4">
        <v>432.28000000000003</v>
      </c>
      <c r="G144" t="s">
        <v>43</v>
      </c>
      <c r="H144">
        <v>15000</v>
      </c>
      <c r="I144" s="4">
        <f>IF(F144&gt;=H144,F144*'All Sales'!$L$2,0)</f>
        <v>0</v>
      </c>
    </row>
    <row r="145" spans="1:9" x14ac:dyDescent="0.25">
      <c r="A145" s="1">
        <v>44409</v>
      </c>
      <c r="B145" t="s">
        <v>19</v>
      </c>
      <c r="C145" t="s">
        <v>20</v>
      </c>
      <c r="D145" t="s">
        <v>21</v>
      </c>
      <c r="E145" t="s">
        <v>22</v>
      </c>
      <c r="F145" s="4">
        <v>4338.8100000000004</v>
      </c>
      <c r="G145" t="s">
        <v>15</v>
      </c>
      <c r="H145">
        <v>15000</v>
      </c>
      <c r="I145" s="4">
        <f>IF(F145&gt;=H145,F145*'All Sales'!$L$2,0)</f>
        <v>0</v>
      </c>
    </row>
    <row r="146" spans="1:9" x14ac:dyDescent="0.25">
      <c r="A146" s="1">
        <v>44409</v>
      </c>
      <c r="B146" t="s">
        <v>65</v>
      </c>
      <c r="C146" t="s">
        <v>66</v>
      </c>
      <c r="D146" t="s">
        <v>67</v>
      </c>
      <c r="E146" t="s">
        <v>22</v>
      </c>
      <c r="F146" s="4">
        <v>1567.02</v>
      </c>
      <c r="G146" t="s">
        <v>43</v>
      </c>
      <c r="H146">
        <v>15000</v>
      </c>
      <c r="I146" s="4">
        <f>IF(F146&gt;=H146,F146*'All Sales'!$L$2,0)</f>
        <v>0</v>
      </c>
    </row>
    <row r="147" spans="1:9" x14ac:dyDescent="0.25">
      <c r="A147" s="1">
        <v>44409</v>
      </c>
      <c r="B147" t="s">
        <v>44</v>
      </c>
      <c r="C147" t="s">
        <v>45</v>
      </c>
      <c r="D147" t="s">
        <v>46</v>
      </c>
      <c r="E147" t="s">
        <v>22</v>
      </c>
      <c r="F147" s="4">
        <v>1039.1699999999998</v>
      </c>
      <c r="G147" t="s">
        <v>43</v>
      </c>
      <c r="H147">
        <v>15000</v>
      </c>
      <c r="I147" s="4">
        <f>IF(F147&gt;=H147,F147*'All Sales'!$L$2,0)</f>
        <v>0</v>
      </c>
    </row>
    <row r="148" spans="1:9" x14ac:dyDescent="0.25">
      <c r="A148" s="1">
        <v>44409</v>
      </c>
      <c r="B148" t="s">
        <v>44</v>
      </c>
      <c r="C148" t="s">
        <v>45</v>
      </c>
      <c r="D148" t="s">
        <v>46</v>
      </c>
      <c r="E148" t="s">
        <v>22</v>
      </c>
      <c r="F148" s="4">
        <v>3760.5</v>
      </c>
      <c r="G148" t="s">
        <v>11</v>
      </c>
      <c r="H148">
        <v>15000</v>
      </c>
      <c r="I148" s="4">
        <f>IF(F148&gt;=H148,F148*'All Sales'!$L$2,0)</f>
        <v>0</v>
      </c>
    </row>
    <row r="149" spans="1:9" x14ac:dyDescent="0.25">
      <c r="A149" s="1">
        <v>44409</v>
      </c>
      <c r="B149" t="s">
        <v>44</v>
      </c>
      <c r="C149" t="s">
        <v>45</v>
      </c>
      <c r="D149" t="s">
        <v>46</v>
      </c>
      <c r="E149" t="s">
        <v>22</v>
      </c>
      <c r="F149" s="4">
        <v>4322.8</v>
      </c>
      <c r="G149" t="s">
        <v>43</v>
      </c>
      <c r="H149">
        <v>15000</v>
      </c>
      <c r="I149" s="4">
        <f>IF(F149&gt;=H149,F149*'All Sales'!$L$2,0)</f>
        <v>0</v>
      </c>
    </row>
    <row r="150" spans="1:9" x14ac:dyDescent="0.25">
      <c r="A150" s="1">
        <v>44409</v>
      </c>
      <c r="B150" t="s">
        <v>44</v>
      </c>
      <c r="C150" t="s">
        <v>45</v>
      </c>
      <c r="D150" t="s">
        <v>46</v>
      </c>
      <c r="E150" t="s">
        <v>22</v>
      </c>
      <c r="F150" s="4">
        <v>9697.6</v>
      </c>
      <c r="G150" t="s">
        <v>15</v>
      </c>
      <c r="H150">
        <v>15000</v>
      </c>
      <c r="I150" s="4">
        <f>IF(F150&gt;=H150,F150*'All Sales'!$L$2,0)</f>
        <v>0</v>
      </c>
    </row>
    <row r="151" spans="1:9" x14ac:dyDescent="0.25">
      <c r="A151" s="1">
        <v>44409</v>
      </c>
      <c r="B151" t="s">
        <v>44</v>
      </c>
      <c r="C151" t="s">
        <v>45</v>
      </c>
      <c r="D151" t="s">
        <v>46</v>
      </c>
      <c r="E151" t="s">
        <v>22</v>
      </c>
      <c r="F151" s="4">
        <v>10391.699999999999</v>
      </c>
      <c r="G151" t="s">
        <v>43</v>
      </c>
      <c r="H151">
        <v>15000</v>
      </c>
      <c r="I151" s="4">
        <f>IF(F151&gt;=H151,F151*'All Sales'!$L$2,0)</f>
        <v>0</v>
      </c>
    </row>
    <row r="152" spans="1:9" x14ac:dyDescent="0.25">
      <c r="A152" s="1">
        <v>44409</v>
      </c>
      <c r="B152" t="s">
        <v>65</v>
      </c>
      <c r="C152" t="s">
        <v>66</v>
      </c>
      <c r="D152" t="s">
        <v>67</v>
      </c>
      <c r="E152" t="s">
        <v>22</v>
      </c>
      <c r="F152" s="4">
        <v>15670.2</v>
      </c>
      <c r="G152" t="s">
        <v>43</v>
      </c>
      <c r="H152">
        <v>15000</v>
      </c>
      <c r="I152" s="4">
        <f>IF(F152&gt;=H152,F152*'All Sales'!$L$2,0)</f>
        <v>1567.0200000000002</v>
      </c>
    </row>
    <row r="153" spans="1:9" x14ac:dyDescent="0.25">
      <c r="A153" s="1">
        <v>44409</v>
      </c>
      <c r="B153" t="s">
        <v>53</v>
      </c>
      <c r="C153" t="s">
        <v>54</v>
      </c>
      <c r="D153" t="s">
        <v>55</v>
      </c>
      <c r="E153" t="s">
        <v>22</v>
      </c>
      <c r="F153" s="4">
        <v>22477.9</v>
      </c>
      <c r="G153" t="s">
        <v>15</v>
      </c>
      <c r="H153">
        <v>15000</v>
      </c>
      <c r="I153" s="4">
        <f>IF(F153&gt;=H153,F153*'All Sales'!$L$2,0)</f>
        <v>2247.7900000000004</v>
      </c>
    </row>
    <row r="154" spans="1:9" x14ac:dyDescent="0.25">
      <c r="A154" s="1">
        <v>44409</v>
      </c>
      <c r="B154" t="s">
        <v>53</v>
      </c>
      <c r="C154" t="s">
        <v>54</v>
      </c>
      <c r="D154" t="s">
        <v>55</v>
      </c>
      <c r="E154" t="s">
        <v>22</v>
      </c>
      <c r="F154" s="4">
        <v>36088.1</v>
      </c>
      <c r="G154" t="s">
        <v>43</v>
      </c>
      <c r="H154">
        <v>15000</v>
      </c>
      <c r="I154" s="4">
        <f>IF(F154&gt;=H154,F154*'All Sales'!$L$2,0)</f>
        <v>3608.81</v>
      </c>
    </row>
    <row r="155" spans="1:9" x14ac:dyDescent="0.25">
      <c r="A155" s="1">
        <v>44409</v>
      </c>
      <c r="B155" t="s">
        <v>19</v>
      </c>
      <c r="C155" t="s">
        <v>20</v>
      </c>
      <c r="D155" t="s">
        <v>21</v>
      </c>
      <c r="E155" t="s">
        <v>22</v>
      </c>
      <c r="F155" s="4">
        <v>43388.100000000006</v>
      </c>
      <c r="G155" t="s">
        <v>15</v>
      </c>
      <c r="H155">
        <v>15000</v>
      </c>
      <c r="I155" s="4">
        <f>IF(F155&gt;=H155,F155*'All Sales'!$L$2,0)</f>
        <v>4338.8100000000004</v>
      </c>
    </row>
    <row r="156" spans="1:9" x14ac:dyDescent="0.25">
      <c r="A156" s="1">
        <v>44440</v>
      </c>
      <c r="B156" t="s">
        <v>37</v>
      </c>
      <c r="C156" t="s">
        <v>38</v>
      </c>
      <c r="D156" t="s">
        <v>39</v>
      </c>
      <c r="E156" t="s">
        <v>22</v>
      </c>
      <c r="F156" s="4">
        <v>771.4</v>
      </c>
      <c r="G156" t="s">
        <v>11</v>
      </c>
      <c r="H156">
        <v>15000</v>
      </c>
      <c r="I156" s="4">
        <f>IF(F156&gt;=H156,F156*'All Sales'!$L$2,0)</f>
        <v>0</v>
      </c>
    </row>
    <row r="157" spans="1:9" x14ac:dyDescent="0.25">
      <c r="A157" s="1">
        <v>44440</v>
      </c>
      <c r="B157" t="s">
        <v>44</v>
      </c>
      <c r="C157" t="s">
        <v>45</v>
      </c>
      <c r="D157" t="s">
        <v>46</v>
      </c>
      <c r="E157" t="s">
        <v>22</v>
      </c>
      <c r="F157" s="4">
        <v>1636.39</v>
      </c>
      <c r="G157" t="s">
        <v>11</v>
      </c>
      <c r="H157">
        <v>15000</v>
      </c>
      <c r="I157" s="4">
        <f>IF(F157&gt;=H157,F157*'All Sales'!$L$2,0)</f>
        <v>0</v>
      </c>
    </row>
    <row r="158" spans="1:9" x14ac:dyDescent="0.25">
      <c r="A158" s="1">
        <v>44440</v>
      </c>
      <c r="B158" t="s">
        <v>19</v>
      </c>
      <c r="C158" t="s">
        <v>20</v>
      </c>
      <c r="D158" t="s">
        <v>21</v>
      </c>
      <c r="E158" t="s">
        <v>22</v>
      </c>
      <c r="F158" s="4">
        <v>1515.2399999999998</v>
      </c>
      <c r="G158" t="s">
        <v>43</v>
      </c>
      <c r="H158">
        <v>15000</v>
      </c>
      <c r="I158" s="4">
        <f>IF(F158&gt;=H158,F158*'All Sales'!$L$2,0)</f>
        <v>0</v>
      </c>
    </row>
    <row r="159" spans="1:9" x14ac:dyDescent="0.25">
      <c r="A159" s="1">
        <v>44440</v>
      </c>
      <c r="B159" t="s">
        <v>37</v>
      </c>
      <c r="C159" t="s">
        <v>38</v>
      </c>
      <c r="D159" t="s">
        <v>39</v>
      </c>
      <c r="E159" t="s">
        <v>22</v>
      </c>
      <c r="F159" s="4">
        <v>7714</v>
      </c>
      <c r="G159" t="s">
        <v>11</v>
      </c>
      <c r="H159">
        <v>15000</v>
      </c>
      <c r="I159" s="4">
        <f>IF(F159&gt;=H159,F159*'All Sales'!$L$2,0)</f>
        <v>0</v>
      </c>
    </row>
    <row r="160" spans="1:9" x14ac:dyDescent="0.25">
      <c r="A160" s="1">
        <v>44440</v>
      </c>
      <c r="B160" t="s">
        <v>19</v>
      </c>
      <c r="C160" t="s">
        <v>20</v>
      </c>
      <c r="D160" t="s">
        <v>21</v>
      </c>
      <c r="E160" t="s">
        <v>22</v>
      </c>
      <c r="F160" s="4">
        <v>15152.399999999998</v>
      </c>
      <c r="G160" t="s">
        <v>43</v>
      </c>
      <c r="H160">
        <v>15000</v>
      </c>
      <c r="I160" s="4">
        <f>IF(F160&gt;=H160,F160*'All Sales'!$L$2,0)</f>
        <v>1515.2399999999998</v>
      </c>
    </row>
    <row r="161" spans="1:9" x14ac:dyDescent="0.25">
      <c r="A161" s="1">
        <v>44440</v>
      </c>
      <c r="B161" t="s">
        <v>44</v>
      </c>
      <c r="C161" t="s">
        <v>45</v>
      </c>
      <c r="D161" t="s">
        <v>46</v>
      </c>
      <c r="E161" t="s">
        <v>22</v>
      </c>
      <c r="F161" s="4">
        <v>16363.900000000001</v>
      </c>
      <c r="G161" t="s">
        <v>11</v>
      </c>
      <c r="H161">
        <v>15000</v>
      </c>
      <c r="I161" s="4">
        <f>IF(F161&gt;=H161,F161*'All Sales'!$L$2,0)</f>
        <v>1636.3900000000003</v>
      </c>
    </row>
    <row r="162" spans="1:9" x14ac:dyDescent="0.25">
      <c r="A162" s="1">
        <v>44470</v>
      </c>
      <c r="B162" t="s">
        <v>19</v>
      </c>
      <c r="C162" t="s">
        <v>20</v>
      </c>
      <c r="D162" t="s">
        <v>21</v>
      </c>
      <c r="E162" t="s">
        <v>22</v>
      </c>
      <c r="F162" s="4">
        <v>4142.07</v>
      </c>
      <c r="G162" t="s">
        <v>11</v>
      </c>
      <c r="H162">
        <v>15000</v>
      </c>
      <c r="I162" s="4">
        <f>IF(F162&gt;=H162,F162*'All Sales'!$L$2,0)</f>
        <v>0</v>
      </c>
    </row>
    <row r="163" spans="1:9" x14ac:dyDescent="0.25">
      <c r="A163" s="1">
        <v>44470</v>
      </c>
      <c r="B163" t="s">
        <v>37</v>
      </c>
      <c r="C163" t="s">
        <v>38</v>
      </c>
      <c r="D163" t="s">
        <v>39</v>
      </c>
      <c r="E163" t="s">
        <v>22</v>
      </c>
      <c r="F163" s="4">
        <v>1069.47</v>
      </c>
      <c r="G163" t="s">
        <v>43</v>
      </c>
      <c r="H163">
        <v>15000</v>
      </c>
      <c r="I163" s="4">
        <f>IF(F163&gt;=H163,F163*'All Sales'!$L$2,0)</f>
        <v>0</v>
      </c>
    </row>
    <row r="164" spans="1:9" x14ac:dyDescent="0.25">
      <c r="A164" s="1">
        <v>44470</v>
      </c>
      <c r="B164" t="s">
        <v>53</v>
      </c>
      <c r="C164" t="s">
        <v>54</v>
      </c>
      <c r="D164" t="s">
        <v>55</v>
      </c>
      <c r="E164" t="s">
        <v>22</v>
      </c>
      <c r="F164" s="4">
        <v>1059.52</v>
      </c>
      <c r="G164" t="s">
        <v>43</v>
      </c>
      <c r="H164">
        <v>15000</v>
      </c>
      <c r="I164" s="4">
        <f>IF(F164&gt;=H164,F164*'All Sales'!$L$2,0)</f>
        <v>0</v>
      </c>
    </row>
    <row r="165" spans="1:9" x14ac:dyDescent="0.25">
      <c r="A165" s="1">
        <v>44470</v>
      </c>
      <c r="B165" t="s">
        <v>53</v>
      </c>
      <c r="C165" t="s">
        <v>54</v>
      </c>
      <c r="D165" t="s">
        <v>55</v>
      </c>
      <c r="E165" t="s">
        <v>22</v>
      </c>
      <c r="F165" s="4">
        <v>1423.54</v>
      </c>
      <c r="G165" t="s">
        <v>43</v>
      </c>
      <c r="H165">
        <v>15000</v>
      </c>
      <c r="I165" s="4">
        <f>IF(F165&gt;=H165,F165*'All Sales'!$L$2,0)</f>
        <v>0</v>
      </c>
    </row>
    <row r="166" spans="1:9" x14ac:dyDescent="0.25">
      <c r="A166" s="1">
        <v>44470</v>
      </c>
      <c r="B166" t="s">
        <v>53</v>
      </c>
      <c r="C166" t="s">
        <v>54</v>
      </c>
      <c r="D166" t="s">
        <v>55</v>
      </c>
      <c r="E166" t="s">
        <v>22</v>
      </c>
      <c r="F166" s="4">
        <v>3653.02</v>
      </c>
      <c r="G166" t="s">
        <v>15</v>
      </c>
      <c r="H166">
        <v>15000</v>
      </c>
      <c r="I166" s="4">
        <f>IF(F166&gt;=H166,F166*'All Sales'!$L$2,0)</f>
        <v>0</v>
      </c>
    </row>
    <row r="167" spans="1:9" x14ac:dyDescent="0.25">
      <c r="A167" s="1">
        <v>44470</v>
      </c>
      <c r="B167" t="s">
        <v>37</v>
      </c>
      <c r="C167" t="s">
        <v>38</v>
      </c>
      <c r="D167" t="s">
        <v>39</v>
      </c>
      <c r="E167" t="s">
        <v>22</v>
      </c>
      <c r="F167" s="4">
        <v>719.59999999999991</v>
      </c>
      <c r="G167" t="s">
        <v>15</v>
      </c>
      <c r="H167">
        <v>15000</v>
      </c>
      <c r="I167" s="4">
        <f>IF(F167&gt;=H167,F167*'All Sales'!$L$2,0)</f>
        <v>0</v>
      </c>
    </row>
    <row r="168" spans="1:9" x14ac:dyDescent="0.25">
      <c r="A168" s="1">
        <v>44470</v>
      </c>
      <c r="B168" t="s">
        <v>19</v>
      </c>
      <c r="C168" t="s">
        <v>20</v>
      </c>
      <c r="D168" t="s">
        <v>21</v>
      </c>
      <c r="E168" t="s">
        <v>22</v>
      </c>
      <c r="F168" s="4">
        <v>299.71999999999997</v>
      </c>
      <c r="G168" t="s">
        <v>11</v>
      </c>
      <c r="H168">
        <v>15000</v>
      </c>
      <c r="I168" s="4">
        <f>IF(F168&gt;=H168,F168*'All Sales'!$L$2,0)</f>
        <v>0</v>
      </c>
    </row>
    <row r="169" spans="1:9" x14ac:dyDescent="0.25">
      <c r="A169" s="1">
        <v>44470</v>
      </c>
      <c r="B169" t="s">
        <v>65</v>
      </c>
      <c r="C169" t="s">
        <v>66</v>
      </c>
      <c r="D169" t="s">
        <v>67</v>
      </c>
      <c r="E169" t="s">
        <v>22</v>
      </c>
      <c r="F169" s="4">
        <v>3689.62</v>
      </c>
      <c r="G169" t="s">
        <v>43</v>
      </c>
      <c r="H169">
        <v>15000</v>
      </c>
      <c r="I169" s="4">
        <f>IF(F169&gt;=H169,F169*'All Sales'!$L$2,0)</f>
        <v>0</v>
      </c>
    </row>
    <row r="170" spans="1:9" x14ac:dyDescent="0.25">
      <c r="A170" s="1">
        <v>44470</v>
      </c>
      <c r="B170" t="s">
        <v>19</v>
      </c>
      <c r="C170" t="s">
        <v>20</v>
      </c>
      <c r="D170" t="s">
        <v>21</v>
      </c>
      <c r="E170" t="s">
        <v>22</v>
      </c>
      <c r="F170" s="4">
        <v>2997.2</v>
      </c>
      <c r="G170" t="s">
        <v>11</v>
      </c>
      <c r="H170">
        <v>15000</v>
      </c>
      <c r="I170" s="4">
        <f>IF(F170&gt;=H170,F170*'All Sales'!$L$2,0)</f>
        <v>0</v>
      </c>
    </row>
    <row r="171" spans="1:9" x14ac:dyDescent="0.25">
      <c r="A171" s="1">
        <v>44470</v>
      </c>
      <c r="B171" t="s">
        <v>37</v>
      </c>
      <c r="C171" t="s">
        <v>38</v>
      </c>
      <c r="D171" t="s">
        <v>39</v>
      </c>
      <c r="E171" t="s">
        <v>22</v>
      </c>
      <c r="F171" s="4">
        <v>7195.9999999999991</v>
      </c>
      <c r="G171" t="s">
        <v>15</v>
      </c>
      <c r="H171">
        <v>15000</v>
      </c>
      <c r="I171" s="4">
        <f>IF(F171&gt;=H171,F171*'All Sales'!$L$2,0)</f>
        <v>0</v>
      </c>
    </row>
    <row r="172" spans="1:9" x14ac:dyDescent="0.25">
      <c r="A172" s="1">
        <v>44470</v>
      </c>
      <c r="B172" t="s">
        <v>53</v>
      </c>
      <c r="C172" t="s">
        <v>54</v>
      </c>
      <c r="D172" t="s">
        <v>55</v>
      </c>
      <c r="E172" t="s">
        <v>22</v>
      </c>
      <c r="F172" s="4">
        <v>10595.2</v>
      </c>
      <c r="G172" t="s">
        <v>43</v>
      </c>
      <c r="H172">
        <v>15000</v>
      </c>
      <c r="I172" s="4">
        <f>IF(F172&gt;=H172,F172*'All Sales'!$L$2,0)</f>
        <v>0</v>
      </c>
    </row>
    <row r="173" spans="1:9" x14ac:dyDescent="0.25">
      <c r="A173" s="1">
        <v>44470</v>
      </c>
      <c r="B173" t="s">
        <v>37</v>
      </c>
      <c r="C173" t="s">
        <v>38</v>
      </c>
      <c r="D173" t="s">
        <v>39</v>
      </c>
      <c r="E173" t="s">
        <v>22</v>
      </c>
      <c r="F173" s="4">
        <v>10694.7</v>
      </c>
      <c r="G173" t="s">
        <v>43</v>
      </c>
      <c r="H173">
        <v>15000</v>
      </c>
      <c r="I173" s="4">
        <f>IF(F173&gt;=H173,F173*'All Sales'!$L$2,0)</f>
        <v>0</v>
      </c>
    </row>
    <row r="174" spans="1:9" x14ac:dyDescent="0.25">
      <c r="A174" s="1">
        <v>44470</v>
      </c>
      <c r="B174" t="s">
        <v>53</v>
      </c>
      <c r="C174" t="s">
        <v>54</v>
      </c>
      <c r="D174" t="s">
        <v>55</v>
      </c>
      <c r="E174" t="s">
        <v>22</v>
      </c>
      <c r="F174" s="4">
        <v>14235.4</v>
      </c>
      <c r="G174" t="s">
        <v>43</v>
      </c>
      <c r="H174">
        <v>15000</v>
      </c>
      <c r="I174" s="4">
        <f>IF(F174&gt;=H174,F174*'All Sales'!$L$2,0)</f>
        <v>0</v>
      </c>
    </row>
    <row r="175" spans="1:9" x14ac:dyDescent="0.25">
      <c r="A175" s="1">
        <v>44470</v>
      </c>
      <c r="B175" t="s">
        <v>53</v>
      </c>
      <c r="C175" t="s">
        <v>54</v>
      </c>
      <c r="D175" t="s">
        <v>55</v>
      </c>
      <c r="E175" t="s">
        <v>22</v>
      </c>
      <c r="F175" s="4">
        <v>36530.199999999997</v>
      </c>
      <c r="G175" t="s">
        <v>15</v>
      </c>
      <c r="H175">
        <v>15000</v>
      </c>
      <c r="I175" s="4">
        <f>IF(F175&gt;=H175,F175*'All Sales'!$L$2,0)</f>
        <v>3653.02</v>
      </c>
    </row>
    <row r="176" spans="1:9" x14ac:dyDescent="0.25">
      <c r="A176" s="1">
        <v>44470</v>
      </c>
      <c r="B176" t="s">
        <v>65</v>
      </c>
      <c r="C176" t="s">
        <v>66</v>
      </c>
      <c r="D176" t="s">
        <v>67</v>
      </c>
      <c r="E176" t="s">
        <v>22</v>
      </c>
      <c r="F176" s="4">
        <v>36896.199999999997</v>
      </c>
      <c r="G176" t="s">
        <v>43</v>
      </c>
      <c r="H176">
        <v>15000</v>
      </c>
      <c r="I176" s="4">
        <f>IF(F176&gt;=H176,F176*'All Sales'!$L$2,0)</f>
        <v>3689.62</v>
      </c>
    </row>
    <row r="177" spans="1:9" x14ac:dyDescent="0.25">
      <c r="A177" s="1">
        <v>44470</v>
      </c>
      <c r="B177" t="s">
        <v>19</v>
      </c>
      <c r="C177" t="s">
        <v>20</v>
      </c>
      <c r="D177" t="s">
        <v>21</v>
      </c>
      <c r="E177" t="s">
        <v>22</v>
      </c>
      <c r="F177" s="4">
        <v>41420.699999999997</v>
      </c>
      <c r="G177" t="s">
        <v>11</v>
      </c>
      <c r="H177">
        <v>15000</v>
      </c>
      <c r="I177" s="4">
        <f>IF(F177&gt;=H177,F177*'All Sales'!$L$2,0)</f>
        <v>4142.07</v>
      </c>
    </row>
    <row r="178" spans="1:9" x14ac:dyDescent="0.25">
      <c r="A178" s="1">
        <v>44501</v>
      </c>
      <c r="B178" t="s">
        <v>19</v>
      </c>
      <c r="C178" t="s">
        <v>20</v>
      </c>
      <c r="D178" t="s">
        <v>21</v>
      </c>
      <c r="E178" t="s">
        <v>22</v>
      </c>
      <c r="F178" s="4">
        <v>1680.64</v>
      </c>
      <c r="G178" t="s">
        <v>11</v>
      </c>
      <c r="H178">
        <v>15000</v>
      </c>
      <c r="I178" s="4">
        <f>IF(F178&gt;=H178,F178*'All Sales'!$L$2,0)</f>
        <v>0</v>
      </c>
    </row>
    <row r="179" spans="1:9" x14ac:dyDescent="0.25">
      <c r="A179" s="1">
        <v>44501</v>
      </c>
      <c r="B179" t="s">
        <v>53</v>
      </c>
      <c r="C179" t="s">
        <v>54</v>
      </c>
      <c r="D179" t="s">
        <v>55</v>
      </c>
      <c r="E179" t="s">
        <v>22</v>
      </c>
      <c r="F179" s="4">
        <v>690</v>
      </c>
      <c r="G179" t="s">
        <v>15</v>
      </c>
      <c r="H179">
        <v>15000</v>
      </c>
      <c r="I179" s="4">
        <f>IF(F179&gt;=H179,F179*'All Sales'!$L$2,0)</f>
        <v>0</v>
      </c>
    </row>
    <row r="180" spans="1:9" x14ac:dyDescent="0.25">
      <c r="A180" s="1">
        <v>44501</v>
      </c>
      <c r="B180" t="s">
        <v>44</v>
      </c>
      <c r="C180" t="s">
        <v>45</v>
      </c>
      <c r="D180" t="s">
        <v>46</v>
      </c>
      <c r="E180" t="s">
        <v>22</v>
      </c>
      <c r="F180" s="4">
        <v>1430.29</v>
      </c>
      <c r="G180" t="s">
        <v>11</v>
      </c>
      <c r="H180">
        <v>15000</v>
      </c>
      <c r="I180" s="4">
        <f>IF(F180&gt;=H180,F180*'All Sales'!$L$2,0)</f>
        <v>0</v>
      </c>
    </row>
    <row r="181" spans="1:9" x14ac:dyDescent="0.25">
      <c r="A181" s="1">
        <v>44501</v>
      </c>
      <c r="B181" t="s">
        <v>37</v>
      </c>
      <c r="C181" t="s">
        <v>38</v>
      </c>
      <c r="D181" t="s">
        <v>39</v>
      </c>
      <c r="E181" t="s">
        <v>22</v>
      </c>
      <c r="F181" s="4">
        <v>2079.7200000000003</v>
      </c>
      <c r="G181" t="s">
        <v>15</v>
      </c>
      <c r="H181">
        <v>15000</v>
      </c>
      <c r="I181" s="4">
        <f>IF(F181&gt;=H181,F181*'All Sales'!$L$2,0)</f>
        <v>0</v>
      </c>
    </row>
    <row r="182" spans="1:9" x14ac:dyDescent="0.25">
      <c r="A182" s="1">
        <v>44501</v>
      </c>
      <c r="B182" t="s">
        <v>65</v>
      </c>
      <c r="C182" t="s">
        <v>66</v>
      </c>
      <c r="D182" t="s">
        <v>67</v>
      </c>
      <c r="E182" t="s">
        <v>22</v>
      </c>
      <c r="F182" s="4">
        <v>2686.6</v>
      </c>
      <c r="G182" t="s">
        <v>43</v>
      </c>
      <c r="H182">
        <v>15000</v>
      </c>
      <c r="I182" s="4">
        <f>IF(F182&gt;=H182,F182*'All Sales'!$L$2,0)</f>
        <v>0</v>
      </c>
    </row>
    <row r="183" spans="1:9" x14ac:dyDescent="0.25">
      <c r="A183" s="1">
        <v>44501</v>
      </c>
      <c r="B183" t="s">
        <v>65</v>
      </c>
      <c r="C183" t="s">
        <v>66</v>
      </c>
      <c r="D183" t="s">
        <v>67</v>
      </c>
      <c r="E183" t="s">
        <v>22</v>
      </c>
      <c r="F183" s="4">
        <v>968.3</v>
      </c>
      <c r="G183" t="s">
        <v>43</v>
      </c>
      <c r="H183">
        <v>15000</v>
      </c>
      <c r="I183" s="4">
        <f>IF(F183&gt;=H183,F183*'All Sales'!$L$2,0)</f>
        <v>0</v>
      </c>
    </row>
    <row r="184" spans="1:9" x14ac:dyDescent="0.25">
      <c r="A184" s="1">
        <v>44501</v>
      </c>
      <c r="B184" t="s">
        <v>53</v>
      </c>
      <c r="C184" t="s">
        <v>54</v>
      </c>
      <c r="D184" t="s">
        <v>55</v>
      </c>
      <c r="E184" t="s">
        <v>22</v>
      </c>
      <c r="F184" s="4">
        <v>6900</v>
      </c>
      <c r="G184" t="s">
        <v>15</v>
      </c>
      <c r="H184">
        <v>15000</v>
      </c>
      <c r="I184" s="4">
        <f>IF(F184&gt;=H184,F184*'All Sales'!$L$2,0)</f>
        <v>0</v>
      </c>
    </row>
    <row r="185" spans="1:9" x14ac:dyDescent="0.25">
      <c r="A185" s="1">
        <v>44501</v>
      </c>
      <c r="B185" t="s">
        <v>65</v>
      </c>
      <c r="C185" t="s">
        <v>66</v>
      </c>
      <c r="D185" t="s">
        <v>67</v>
      </c>
      <c r="E185" t="s">
        <v>22</v>
      </c>
      <c r="F185" s="4">
        <v>9683</v>
      </c>
      <c r="G185" t="s">
        <v>43</v>
      </c>
      <c r="H185">
        <v>15000</v>
      </c>
      <c r="I185" s="4">
        <f>IF(F185&gt;=H185,F185*'All Sales'!$L$2,0)</f>
        <v>0</v>
      </c>
    </row>
    <row r="186" spans="1:9" x14ac:dyDescent="0.25">
      <c r="A186" s="1">
        <v>44501</v>
      </c>
      <c r="B186" t="s">
        <v>44</v>
      </c>
      <c r="C186" t="s">
        <v>45</v>
      </c>
      <c r="D186" t="s">
        <v>46</v>
      </c>
      <c r="E186" t="s">
        <v>22</v>
      </c>
      <c r="F186" s="4">
        <v>14302.9</v>
      </c>
      <c r="G186" t="s">
        <v>11</v>
      </c>
      <c r="H186">
        <v>15000</v>
      </c>
      <c r="I186" s="4">
        <f>IF(F186&gt;=H186,F186*'All Sales'!$L$2,0)</f>
        <v>0</v>
      </c>
    </row>
    <row r="187" spans="1:9" x14ac:dyDescent="0.25">
      <c r="A187" s="1">
        <v>44501</v>
      </c>
      <c r="B187" t="s">
        <v>19</v>
      </c>
      <c r="C187" t="s">
        <v>20</v>
      </c>
      <c r="D187" t="s">
        <v>21</v>
      </c>
      <c r="E187" t="s">
        <v>22</v>
      </c>
      <c r="F187" s="4">
        <v>16806.400000000001</v>
      </c>
      <c r="G187" t="s">
        <v>11</v>
      </c>
      <c r="H187">
        <v>15000</v>
      </c>
      <c r="I187" s="4">
        <f>IF(F187&gt;=H187,F187*'All Sales'!$L$2,0)</f>
        <v>1680.6400000000003</v>
      </c>
    </row>
    <row r="188" spans="1:9" x14ac:dyDescent="0.25">
      <c r="A188" s="1">
        <v>44501</v>
      </c>
      <c r="B188" t="s">
        <v>37</v>
      </c>
      <c r="C188" t="s">
        <v>38</v>
      </c>
      <c r="D188" t="s">
        <v>39</v>
      </c>
      <c r="E188" t="s">
        <v>22</v>
      </c>
      <c r="F188" s="4">
        <v>20797.200000000004</v>
      </c>
      <c r="G188" t="s">
        <v>15</v>
      </c>
      <c r="H188">
        <v>15000</v>
      </c>
      <c r="I188" s="4">
        <f>IF(F188&gt;=H188,F188*'All Sales'!$L$2,0)</f>
        <v>2079.7200000000007</v>
      </c>
    </row>
    <row r="189" spans="1:9" x14ac:dyDescent="0.25">
      <c r="A189" s="1">
        <v>44501</v>
      </c>
      <c r="B189" t="s">
        <v>65</v>
      </c>
      <c r="C189" t="s">
        <v>66</v>
      </c>
      <c r="D189" t="s">
        <v>67</v>
      </c>
      <c r="E189" t="s">
        <v>22</v>
      </c>
      <c r="F189" s="4">
        <v>26866</v>
      </c>
      <c r="G189" t="s">
        <v>43</v>
      </c>
      <c r="H189">
        <v>15000</v>
      </c>
      <c r="I189" s="4">
        <f>IF(F189&gt;=H189,F189*'All Sales'!$L$2,0)</f>
        <v>2686.6000000000004</v>
      </c>
    </row>
    <row r="190" spans="1:9" x14ac:dyDescent="0.25">
      <c r="A190" s="1">
        <v>44531</v>
      </c>
      <c r="B190" t="s">
        <v>65</v>
      </c>
      <c r="C190" t="s">
        <v>66</v>
      </c>
      <c r="D190" t="s">
        <v>67</v>
      </c>
      <c r="E190" t="s">
        <v>22</v>
      </c>
      <c r="F190" s="4">
        <v>700.92000000000007</v>
      </c>
      <c r="G190" t="s">
        <v>15</v>
      </c>
      <c r="H190">
        <v>15000</v>
      </c>
      <c r="I190" s="4">
        <f>IF(F190&gt;=H190,F190*'All Sales'!$L$2,0)</f>
        <v>0</v>
      </c>
    </row>
    <row r="191" spans="1:9" x14ac:dyDescent="0.25">
      <c r="A191" s="1">
        <v>44531</v>
      </c>
      <c r="B191" t="s">
        <v>19</v>
      </c>
      <c r="C191" t="s">
        <v>20</v>
      </c>
      <c r="D191" t="s">
        <v>21</v>
      </c>
      <c r="E191" t="s">
        <v>22</v>
      </c>
      <c r="F191" s="4">
        <v>891.44999999999993</v>
      </c>
      <c r="G191" t="s">
        <v>11</v>
      </c>
      <c r="H191">
        <v>15000</v>
      </c>
      <c r="I191" s="4">
        <f>IF(F191&gt;=H191,F191*'All Sales'!$L$2,0)</f>
        <v>0</v>
      </c>
    </row>
    <row r="192" spans="1:9" x14ac:dyDescent="0.25">
      <c r="A192" s="1">
        <v>44531</v>
      </c>
      <c r="B192" t="s">
        <v>53</v>
      </c>
      <c r="C192" t="s">
        <v>54</v>
      </c>
      <c r="D192" t="s">
        <v>55</v>
      </c>
      <c r="E192" t="s">
        <v>22</v>
      </c>
      <c r="F192" s="4">
        <v>708.89</v>
      </c>
      <c r="G192" t="s">
        <v>11</v>
      </c>
      <c r="H192">
        <v>15000</v>
      </c>
      <c r="I192" s="4">
        <f>IF(F192&gt;=H192,F192*'All Sales'!$L$2,0)</f>
        <v>0</v>
      </c>
    </row>
    <row r="193" spans="1:9" x14ac:dyDescent="0.25">
      <c r="A193" s="1">
        <v>44531</v>
      </c>
      <c r="B193" t="s">
        <v>65</v>
      </c>
      <c r="C193" t="s">
        <v>66</v>
      </c>
      <c r="D193" t="s">
        <v>67</v>
      </c>
      <c r="E193" t="s">
        <v>22</v>
      </c>
      <c r="F193" s="4">
        <v>809.55</v>
      </c>
      <c r="G193" t="s">
        <v>11</v>
      </c>
      <c r="H193">
        <v>15000</v>
      </c>
      <c r="I193" s="4">
        <f>IF(F193&gt;=H193,F193*'All Sales'!$L$2,0)</f>
        <v>0</v>
      </c>
    </row>
    <row r="194" spans="1:9" x14ac:dyDescent="0.25">
      <c r="A194" s="1">
        <v>44531</v>
      </c>
      <c r="B194" t="s">
        <v>65</v>
      </c>
      <c r="C194" t="s">
        <v>66</v>
      </c>
      <c r="D194" t="s">
        <v>67</v>
      </c>
      <c r="E194" t="s">
        <v>22</v>
      </c>
      <c r="F194" s="4">
        <v>7009.2000000000007</v>
      </c>
      <c r="G194" t="s">
        <v>15</v>
      </c>
      <c r="H194">
        <v>15000</v>
      </c>
      <c r="I194" s="4">
        <f>IF(F194&gt;=H194,F194*'All Sales'!$L$2,0)</f>
        <v>0</v>
      </c>
    </row>
    <row r="195" spans="1:9" x14ac:dyDescent="0.25">
      <c r="A195" s="1">
        <v>44531</v>
      </c>
      <c r="B195" t="s">
        <v>53</v>
      </c>
      <c r="C195" t="s">
        <v>54</v>
      </c>
      <c r="D195" t="s">
        <v>55</v>
      </c>
      <c r="E195" t="s">
        <v>22</v>
      </c>
      <c r="F195" s="4">
        <v>7088.9</v>
      </c>
      <c r="G195" t="s">
        <v>11</v>
      </c>
      <c r="H195">
        <v>15000</v>
      </c>
      <c r="I195" s="4">
        <f>IF(F195&gt;=H195,F195*'All Sales'!$L$2,0)</f>
        <v>0</v>
      </c>
    </row>
    <row r="196" spans="1:9" x14ac:dyDescent="0.25">
      <c r="A196" s="1">
        <v>44531</v>
      </c>
      <c r="B196" t="s">
        <v>65</v>
      </c>
      <c r="C196" t="s">
        <v>66</v>
      </c>
      <c r="D196" t="s">
        <v>67</v>
      </c>
      <c r="E196" t="s">
        <v>22</v>
      </c>
      <c r="F196" s="4">
        <v>8095.5</v>
      </c>
      <c r="G196" t="s">
        <v>11</v>
      </c>
      <c r="H196">
        <v>15000</v>
      </c>
      <c r="I196" s="4">
        <f>IF(F196&gt;=H196,F196*'All Sales'!$L$2,0)</f>
        <v>0</v>
      </c>
    </row>
    <row r="197" spans="1:9" x14ac:dyDescent="0.25">
      <c r="A197" s="1">
        <v>44531</v>
      </c>
      <c r="B197" t="s">
        <v>19</v>
      </c>
      <c r="C197" t="s">
        <v>20</v>
      </c>
      <c r="D197" t="s">
        <v>21</v>
      </c>
      <c r="E197" t="s">
        <v>22</v>
      </c>
      <c r="F197" s="4">
        <v>8914.5</v>
      </c>
      <c r="G197" t="s">
        <v>11</v>
      </c>
      <c r="H197">
        <v>15000</v>
      </c>
      <c r="I197" s="4">
        <f>IF(F197&gt;=H197,F197*'All Sales'!$L$2,0)</f>
        <v>0</v>
      </c>
    </row>
  </sheetData>
  <autoFilter ref="A1:I197" xr:uid="{42039432-7D1B-4904-B0DE-3566441835BD}"/>
  <conditionalFormatting sqref="F2:F197">
    <cfRule type="top10" dxfId="0" priority="1" rank="5"/>
  </conditionalFormatting>
  <hyperlinks>
    <hyperlink ref="P6" location="'Cover Page'!A1" display="Back to Cover Page" xr:uid="{974E6205-92DF-4B85-882D-01F56943277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85F5-5F3B-4190-8E19-E1DDD3EF428A}">
  <dimension ref="A1:O489"/>
  <sheetViews>
    <sheetView zoomScale="85" zoomScaleNormal="85" workbookViewId="0">
      <selection activeCell="M7" sqref="M7"/>
    </sheetView>
  </sheetViews>
  <sheetFormatPr defaultRowHeight="15" x14ac:dyDescent="0.25"/>
  <cols>
    <col min="1" max="1" width="7.5703125" bestFit="1" customWidth="1"/>
    <col min="2" max="2" width="10.5703125" bestFit="1" customWidth="1"/>
    <col min="3" max="3" width="11.7109375" bestFit="1" customWidth="1"/>
    <col min="4" max="4" width="24" bestFit="1" customWidth="1"/>
    <col min="5" max="5" width="12.140625" customWidth="1"/>
    <col min="6" max="6" width="10.140625" bestFit="1" customWidth="1"/>
    <col min="7" max="7" width="13.28515625" bestFit="1" customWidth="1"/>
    <col min="8" max="8" width="13.7109375" bestFit="1" customWidth="1"/>
    <col min="9" max="9" width="10.28515625" bestFit="1" customWidth="1"/>
    <col min="10" max="10" width="12.7109375" bestFit="1" customWidth="1"/>
    <col min="11" max="11" width="11.7109375" bestFit="1" customWidth="1"/>
    <col min="12" max="12" width="12.85546875" customWidth="1"/>
    <col min="13" max="13" width="12.5703125" bestFit="1" customWidth="1"/>
    <col min="14" max="14" width="20" bestFit="1" customWidth="1"/>
    <col min="15" max="15" width="19.5703125" bestFit="1" customWidth="1"/>
  </cols>
  <sheetData>
    <row r="1" spans="1:15" x14ac:dyDescent="0.25">
      <c r="A1" s="15" t="s">
        <v>0</v>
      </c>
      <c r="B1" s="16" t="s">
        <v>2</v>
      </c>
      <c r="C1" s="16" t="s">
        <v>3</v>
      </c>
      <c r="D1" s="16" t="s">
        <v>1</v>
      </c>
      <c r="E1" s="16" t="s">
        <v>1</v>
      </c>
      <c r="F1" s="16" t="s">
        <v>4</v>
      </c>
      <c r="G1" s="16" t="s">
        <v>5</v>
      </c>
      <c r="H1" s="16" t="s">
        <v>6</v>
      </c>
      <c r="I1" s="16" t="s">
        <v>74</v>
      </c>
      <c r="J1" s="16" t="s">
        <v>75</v>
      </c>
      <c r="K1" s="17" t="s">
        <v>80</v>
      </c>
      <c r="M1" s="2" t="s">
        <v>76</v>
      </c>
    </row>
    <row r="2" spans="1:15" x14ac:dyDescent="0.25">
      <c r="A2" s="18">
        <v>44197</v>
      </c>
      <c r="B2" s="19" t="s">
        <v>17</v>
      </c>
      <c r="C2" s="19" t="s">
        <v>18</v>
      </c>
      <c r="D2" s="19" t="s">
        <v>16</v>
      </c>
      <c r="E2" s="19" t="str" cm="1">
        <f t="array" ref="E2:E488">TRIM(D2:D488)</f>
        <v>Reza Jafari</v>
      </c>
      <c r="F2" s="19" t="s">
        <v>10</v>
      </c>
      <c r="G2" s="20">
        <v>2954.7</v>
      </c>
      <c r="H2" s="19" t="s">
        <v>15</v>
      </c>
      <c r="I2" s="20">
        <v>15000</v>
      </c>
      <c r="J2" s="20">
        <f t="shared" ref="J2:J65" si="0">IF(G2&gt;=I2,G2*$M$2,0)</f>
        <v>0</v>
      </c>
      <c r="K2" s="21">
        <f>'Copy of All Sales'!$G2-'Copy of All Sales'!$I2</f>
        <v>-12045.3</v>
      </c>
      <c r="M2" s="3">
        <v>0.1</v>
      </c>
    </row>
    <row r="3" spans="1:15" x14ac:dyDescent="0.25">
      <c r="A3" s="22">
        <v>44197</v>
      </c>
      <c r="B3" s="23" t="s">
        <v>69</v>
      </c>
      <c r="C3" s="23" t="s">
        <v>70</v>
      </c>
      <c r="D3" s="23" t="s">
        <v>68</v>
      </c>
      <c r="E3" s="23" t="str">
        <v>Bryan Maldonado</v>
      </c>
      <c r="F3" s="23" t="s">
        <v>10</v>
      </c>
      <c r="G3" s="24">
        <v>6796.7999999999993</v>
      </c>
      <c r="H3" s="23" t="s">
        <v>11</v>
      </c>
      <c r="I3" s="24">
        <v>15000</v>
      </c>
      <c r="J3" s="24">
        <f t="shared" si="0"/>
        <v>0</v>
      </c>
      <c r="K3" s="25">
        <f>'Copy of All Sales'!$G3-'Copy of All Sales'!$I3</f>
        <v>-8203.2000000000007</v>
      </c>
      <c r="O3" s="12" t="s">
        <v>136</v>
      </c>
    </row>
    <row r="4" spans="1:15" x14ac:dyDescent="0.25">
      <c r="A4" s="18">
        <v>44197</v>
      </c>
      <c r="B4" s="19" t="s">
        <v>69</v>
      </c>
      <c r="C4" s="19" t="s">
        <v>70</v>
      </c>
      <c r="D4" s="19" t="s">
        <v>68</v>
      </c>
      <c r="E4" s="19" t="str">
        <v>Bryan Maldonado</v>
      </c>
      <c r="F4" s="19" t="s">
        <v>10</v>
      </c>
      <c r="G4" s="20">
        <v>8188</v>
      </c>
      <c r="H4" s="19" t="s">
        <v>43</v>
      </c>
      <c r="I4" s="20">
        <v>15000</v>
      </c>
      <c r="J4" s="20">
        <f t="shared" si="0"/>
        <v>0</v>
      </c>
      <c r="K4" s="21">
        <f>'Copy of All Sales'!$G4-'Copy of All Sales'!$I4</f>
        <v>-6812</v>
      </c>
    </row>
    <row r="5" spans="1:15" x14ac:dyDescent="0.25">
      <c r="A5" s="22">
        <v>44197</v>
      </c>
      <c r="B5" s="23" t="s">
        <v>17</v>
      </c>
      <c r="C5" s="23" t="s">
        <v>18</v>
      </c>
      <c r="D5" s="23" t="s">
        <v>16</v>
      </c>
      <c r="E5" s="23" t="str">
        <v>Reza Jafari</v>
      </c>
      <c r="F5" s="23" t="s">
        <v>10</v>
      </c>
      <c r="G5" s="24">
        <v>9058.4</v>
      </c>
      <c r="H5" s="23" t="s">
        <v>11</v>
      </c>
      <c r="I5" s="24">
        <v>15000</v>
      </c>
      <c r="J5" s="24">
        <f t="shared" si="0"/>
        <v>0</v>
      </c>
      <c r="K5" s="25">
        <f>'Copy of All Sales'!$G5-'Copy of All Sales'!$I5</f>
        <v>-5941.6</v>
      </c>
    </row>
    <row r="6" spans="1:15" x14ac:dyDescent="0.25">
      <c r="A6" s="18">
        <v>44197</v>
      </c>
      <c r="B6" s="19" t="s">
        <v>69</v>
      </c>
      <c r="C6" s="19" t="s">
        <v>70</v>
      </c>
      <c r="D6" s="19" t="s">
        <v>68</v>
      </c>
      <c r="E6" s="19" t="str">
        <v>Bryan Maldonado</v>
      </c>
      <c r="F6" s="19" t="s">
        <v>10</v>
      </c>
      <c r="G6" s="20">
        <v>12096</v>
      </c>
      <c r="H6" s="19" t="s">
        <v>43</v>
      </c>
      <c r="I6" s="20">
        <v>15000</v>
      </c>
      <c r="J6" s="20">
        <f t="shared" si="0"/>
        <v>0</v>
      </c>
      <c r="K6" s="21">
        <f>'Copy of All Sales'!$G6-'Copy of All Sales'!$I6</f>
        <v>-2904</v>
      </c>
    </row>
    <row r="7" spans="1:15" x14ac:dyDescent="0.25">
      <c r="A7" s="22">
        <v>44197</v>
      </c>
      <c r="B7" s="23" t="s">
        <v>8</v>
      </c>
      <c r="C7" s="23" t="s">
        <v>9</v>
      </c>
      <c r="D7" s="23" t="s">
        <v>7</v>
      </c>
      <c r="E7" s="23" t="str">
        <v>Ashley Almanza</v>
      </c>
      <c r="F7" s="23" t="s">
        <v>10</v>
      </c>
      <c r="G7" s="24">
        <v>15029</v>
      </c>
      <c r="H7" s="23" t="s">
        <v>15</v>
      </c>
      <c r="I7" s="24">
        <v>15000</v>
      </c>
      <c r="J7" s="24">
        <f t="shared" si="0"/>
        <v>1502.9</v>
      </c>
      <c r="K7" s="25">
        <f>'Copy of All Sales'!$G7-'Copy of All Sales'!$I7</f>
        <v>29</v>
      </c>
    </row>
    <row r="8" spans="1:15" x14ac:dyDescent="0.25">
      <c r="A8" s="18">
        <v>44197</v>
      </c>
      <c r="B8" s="19" t="s">
        <v>8</v>
      </c>
      <c r="C8" s="19" t="s">
        <v>9</v>
      </c>
      <c r="D8" s="19" t="s">
        <v>7</v>
      </c>
      <c r="E8" s="19" t="str">
        <v>Ashley Almanza</v>
      </c>
      <c r="F8" s="19" t="s">
        <v>10</v>
      </c>
      <c r="G8" s="20">
        <v>15264</v>
      </c>
      <c r="H8" s="19" t="s">
        <v>15</v>
      </c>
      <c r="I8" s="20">
        <v>15000</v>
      </c>
      <c r="J8" s="20">
        <f t="shared" si="0"/>
        <v>1526.4</v>
      </c>
      <c r="K8" s="21">
        <f>'Copy of All Sales'!$G8-'Copy of All Sales'!$I8</f>
        <v>264</v>
      </c>
    </row>
    <row r="9" spans="1:15" x14ac:dyDescent="0.25">
      <c r="A9" s="22">
        <v>44197</v>
      </c>
      <c r="B9" s="23" t="s">
        <v>8</v>
      </c>
      <c r="C9" s="23" t="s">
        <v>9</v>
      </c>
      <c r="D9" s="23" t="s">
        <v>7</v>
      </c>
      <c r="E9" s="23" t="str">
        <v>Ashley Almanza</v>
      </c>
      <c r="F9" s="23" t="s">
        <v>10</v>
      </c>
      <c r="G9" s="24">
        <v>17353.599999999999</v>
      </c>
      <c r="H9" s="23" t="s">
        <v>11</v>
      </c>
      <c r="I9" s="24">
        <v>15000</v>
      </c>
      <c r="J9" s="24">
        <f t="shared" si="0"/>
        <v>1735.36</v>
      </c>
      <c r="K9" s="25">
        <f>'Copy of All Sales'!$G9-'Copy of All Sales'!$I9</f>
        <v>2353.5999999999985</v>
      </c>
    </row>
    <row r="10" spans="1:15" x14ac:dyDescent="0.25">
      <c r="A10" s="18">
        <v>44197</v>
      </c>
      <c r="B10" s="19" t="s">
        <v>13</v>
      </c>
      <c r="C10" s="19" t="s">
        <v>14</v>
      </c>
      <c r="D10" s="19" t="s">
        <v>12</v>
      </c>
      <c r="E10" s="19" t="str">
        <v>Derek Godwin</v>
      </c>
      <c r="F10" s="19" t="s">
        <v>10</v>
      </c>
      <c r="G10" s="20">
        <v>20140</v>
      </c>
      <c r="H10" s="19" t="s">
        <v>43</v>
      </c>
      <c r="I10" s="20">
        <v>15000</v>
      </c>
      <c r="J10" s="20">
        <f t="shared" si="0"/>
        <v>2014</v>
      </c>
      <c r="K10" s="21">
        <f>'Copy of All Sales'!$G10-'Copy of All Sales'!$I10</f>
        <v>5140</v>
      </c>
    </row>
    <row r="11" spans="1:15" x14ac:dyDescent="0.25">
      <c r="A11" s="22">
        <v>44197</v>
      </c>
      <c r="B11" s="23" t="s">
        <v>13</v>
      </c>
      <c r="C11" s="23" t="s">
        <v>14</v>
      </c>
      <c r="D11" s="23" t="s">
        <v>12</v>
      </c>
      <c r="E11" s="23" t="str">
        <v>Derek Godwin</v>
      </c>
      <c r="F11" s="23" t="s">
        <v>10</v>
      </c>
      <c r="G11" s="24">
        <v>35649</v>
      </c>
      <c r="H11" s="23" t="s">
        <v>11</v>
      </c>
      <c r="I11" s="24">
        <v>15000</v>
      </c>
      <c r="J11" s="24">
        <f t="shared" si="0"/>
        <v>3564.9</v>
      </c>
      <c r="K11" s="25">
        <f>'Copy of All Sales'!$G11-'Copy of All Sales'!$I11</f>
        <v>20649</v>
      </c>
    </row>
    <row r="12" spans="1:15" x14ac:dyDescent="0.25">
      <c r="A12" s="18">
        <v>44228</v>
      </c>
      <c r="B12" s="19" t="s">
        <v>28</v>
      </c>
      <c r="C12" s="19" t="s">
        <v>29</v>
      </c>
      <c r="D12" s="19" t="s">
        <v>27</v>
      </c>
      <c r="E12" s="19" t="str">
        <v>Gordon Beswick</v>
      </c>
      <c r="F12" s="19" t="s">
        <v>10</v>
      </c>
      <c r="G12" s="20">
        <v>7717.5</v>
      </c>
      <c r="H12" s="19" t="s">
        <v>43</v>
      </c>
      <c r="I12" s="20">
        <v>15000</v>
      </c>
      <c r="J12" s="20">
        <f t="shared" si="0"/>
        <v>0</v>
      </c>
      <c r="K12" s="21">
        <f>'Copy of All Sales'!$G12-'Copy of All Sales'!$I12</f>
        <v>-7282.5</v>
      </c>
    </row>
    <row r="13" spans="1:15" x14ac:dyDescent="0.25">
      <c r="A13" s="22">
        <v>44228</v>
      </c>
      <c r="B13" s="23" t="s">
        <v>28</v>
      </c>
      <c r="C13" s="23" t="s">
        <v>29</v>
      </c>
      <c r="D13" s="23" t="s">
        <v>27</v>
      </c>
      <c r="E13" s="23" t="str">
        <v>Gordon Beswick</v>
      </c>
      <c r="F13" s="23" t="s">
        <v>10</v>
      </c>
      <c r="G13" s="24">
        <v>11617.6</v>
      </c>
      <c r="H13" s="23" t="s">
        <v>15</v>
      </c>
      <c r="I13" s="24">
        <v>15000</v>
      </c>
      <c r="J13" s="24">
        <f t="shared" si="0"/>
        <v>0</v>
      </c>
      <c r="K13" s="25">
        <f>'Copy of All Sales'!$G13-'Copy of All Sales'!$I13</f>
        <v>-3382.3999999999996</v>
      </c>
    </row>
    <row r="14" spans="1:15" x14ac:dyDescent="0.25">
      <c r="A14" s="18">
        <v>44228</v>
      </c>
      <c r="B14" s="19" t="s">
        <v>13</v>
      </c>
      <c r="C14" s="19" t="s">
        <v>14</v>
      </c>
      <c r="D14" s="19" t="s">
        <v>12</v>
      </c>
      <c r="E14" s="19" t="str">
        <v>Derek Godwin</v>
      </c>
      <c r="F14" s="19" t="s">
        <v>10</v>
      </c>
      <c r="G14" s="20">
        <v>19431</v>
      </c>
      <c r="H14" s="19" t="s">
        <v>15</v>
      </c>
      <c r="I14" s="20">
        <v>15000</v>
      </c>
      <c r="J14" s="20">
        <f t="shared" si="0"/>
        <v>1943.1000000000001</v>
      </c>
      <c r="K14" s="21">
        <f>'Copy of All Sales'!$G14-'Copy of All Sales'!$I14</f>
        <v>4431</v>
      </c>
    </row>
    <row r="15" spans="1:15" x14ac:dyDescent="0.25">
      <c r="A15" s="22">
        <v>44228</v>
      </c>
      <c r="B15" s="23" t="s">
        <v>8</v>
      </c>
      <c r="C15" s="23" t="s">
        <v>9</v>
      </c>
      <c r="D15" s="23" t="s">
        <v>7</v>
      </c>
      <c r="E15" s="23" t="str">
        <v>Ashley Almanza</v>
      </c>
      <c r="F15" s="23" t="s">
        <v>10</v>
      </c>
      <c r="G15" s="24">
        <v>21169.599999999999</v>
      </c>
      <c r="H15" s="23" t="s">
        <v>15</v>
      </c>
      <c r="I15" s="24">
        <v>15000</v>
      </c>
      <c r="J15" s="24">
        <f t="shared" si="0"/>
        <v>2116.96</v>
      </c>
      <c r="K15" s="25">
        <f>'Copy of All Sales'!$G15-'Copy of All Sales'!$I15</f>
        <v>6169.5999999999985</v>
      </c>
    </row>
    <row r="16" spans="1:15" x14ac:dyDescent="0.25">
      <c r="A16" s="18">
        <v>44228</v>
      </c>
      <c r="B16" s="19" t="s">
        <v>17</v>
      </c>
      <c r="C16" s="19" t="s">
        <v>18</v>
      </c>
      <c r="D16" s="19" t="s">
        <v>16</v>
      </c>
      <c r="E16" s="19" t="str">
        <v>Reza Jafari</v>
      </c>
      <c r="F16" s="19" t="s">
        <v>10</v>
      </c>
      <c r="G16" s="20">
        <v>29158.400000000001</v>
      </c>
      <c r="H16" s="19" t="s">
        <v>15</v>
      </c>
      <c r="I16" s="20">
        <v>15000</v>
      </c>
      <c r="J16" s="20">
        <f t="shared" si="0"/>
        <v>2915.84</v>
      </c>
      <c r="K16" s="21">
        <f>'Copy of All Sales'!$G16-'Copy of All Sales'!$I16</f>
        <v>14158.400000000001</v>
      </c>
    </row>
    <row r="17" spans="1:11" x14ac:dyDescent="0.25">
      <c r="A17" s="22">
        <v>44228</v>
      </c>
      <c r="B17" s="23" t="s">
        <v>13</v>
      </c>
      <c r="C17" s="23" t="s">
        <v>14</v>
      </c>
      <c r="D17" s="23" t="s">
        <v>12</v>
      </c>
      <c r="E17" s="23" t="str">
        <v>Derek Godwin</v>
      </c>
      <c r="F17" s="23" t="s">
        <v>10</v>
      </c>
      <c r="G17" s="24">
        <v>30305</v>
      </c>
      <c r="H17" s="23" t="s">
        <v>11</v>
      </c>
      <c r="I17" s="24">
        <v>15000</v>
      </c>
      <c r="J17" s="24">
        <f t="shared" si="0"/>
        <v>3030.5</v>
      </c>
      <c r="K17" s="25">
        <f>'Copy of All Sales'!$G17-'Copy of All Sales'!$I17</f>
        <v>15305</v>
      </c>
    </row>
    <row r="18" spans="1:11" x14ac:dyDescent="0.25">
      <c r="A18" s="18">
        <v>44228</v>
      </c>
      <c r="B18" s="19" t="s">
        <v>28</v>
      </c>
      <c r="C18" s="19" t="s">
        <v>29</v>
      </c>
      <c r="D18" s="19" t="s">
        <v>27</v>
      </c>
      <c r="E18" s="19" t="str">
        <v>Gordon Beswick</v>
      </c>
      <c r="F18" s="19" t="s">
        <v>10</v>
      </c>
      <c r="G18" s="20">
        <v>43184.399999999994</v>
      </c>
      <c r="H18" s="19" t="s">
        <v>43</v>
      </c>
      <c r="I18" s="20">
        <v>15000</v>
      </c>
      <c r="J18" s="20">
        <f t="shared" si="0"/>
        <v>4318.4399999999996</v>
      </c>
      <c r="K18" s="21">
        <f>'Copy of All Sales'!$G18-'Copy of All Sales'!$I18</f>
        <v>28184.399999999994</v>
      </c>
    </row>
    <row r="19" spans="1:11" x14ac:dyDescent="0.25">
      <c r="A19" s="22">
        <v>44256</v>
      </c>
      <c r="B19" s="23" t="s">
        <v>13</v>
      </c>
      <c r="C19" s="23" t="s">
        <v>14</v>
      </c>
      <c r="D19" s="23" t="s">
        <v>12</v>
      </c>
      <c r="E19" s="23" t="str">
        <v>Derek Godwin</v>
      </c>
      <c r="F19" s="23" t="s">
        <v>10</v>
      </c>
      <c r="G19" s="24">
        <v>2311.5</v>
      </c>
      <c r="H19" s="23" t="s">
        <v>15</v>
      </c>
      <c r="I19" s="24">
        <v>15000</v>
      </c>
      <c r="J19" s="24">
        <f t="shared" si="0"/>
        <v>0</v>
      </c>
      <c r="K19" s="25">
        <f>'Copy of All Sales'!$G19-'Copy of All Sales'!$I19</f>
        <v>-12688.5</v>
      </c>
    </row>
    <row r="20" spans="1:11" x14ac:dyDescent="0.25">
      <c r="A20" s="18">
        <v>44256</v>
      </c>
      <c r="B20" s="19" t="s">
        <v>28</v>
      </c>
      <c r="C20" s="19" t="s">
        <v>29</v>
      </c>
      <c r="D20" s="19" t="s">
        <v>27</v>
      </c>
      <c r="E20" s="19" t="str">
        <v>Gordon Beswick</v>
      </c>
      <c r="F20" s="19" t="s">
        <v>10</v>
      </c>
      <c r="G20" s="20">
        <v>3013.5</v>
      </c>
      <c r="H20" s="19" t="s">
        <v>15</v>
      </c>
      <c r="I20" s="20">
        <v>15000</v>
      </c>
      <c r="J20" s="20">
        <f t="shared" si="0"/>
        <v>0</v>
      </c>
      <c r="K20" s="21">
        <f>'Copy of All Sales'!$G20-'Copy of All Sales'!$I20</f>
        <v>-11986.5</v>
      </c>
    </row>
    <row r="21" spans="1:11" x14ac:dyDescent="0.25">
      <c r="A21" s="22">
        <v>44256</v>
      </c>
      <c r="B21" s="23" t="s">
        <v>28</v>
      </c>
      <c r="C21" s="23" t="s">
        <v>29</v>
      </c>
      <c r="D21" s="23" t="s">
        <v>27</v>
      </c>
      <c r="E21" s="23" t="str">
        <v>Gordon Beswick</v>
      </c>
      <c r="F21" s="23" t="s">
        <v>10</v>
      </c>
      <c r="G21" s="24">
        <v>5287.5</v>
      </c>
      <c r="H21" s="23" t="s">
        <v>15</v>
      </c>
      <c r="I21" s="24">
        <v>15000</v>
      </c>
      <c r="J21" s="24">
        <f t="shared" si="0"/>
        <v>0</v>
      </c>
      <c r="K21" s="25">
        <f>'Copy of All Sales'!$G21-'Copy of All Sales'!$I21</f>
        <v>-9712.5</v>
      </c>
    </row>
    <row r="22" spans="1:11" x14ac:dyDescent="0.25">
      <c r="A22" s="18">
        <v>44256</v>
      </c>
      <c r="B22" s="19" t="s">
        <v>17</v>
      </c>
      <c r="C22" s="19" t="s">
        <v>18</v>
      </c>
      <c r="D22" s="19" t="s">
        <v>16</v>
      </c>
      <c r="E22" s="19" t="str">
        <v>Reza Jafari</v>
      </c>
      <c r="F22" s="19" t="s">
        <v>10</v>
      </c>
      <c r="G22" s="20">
        <v>13797</v>
      </c>
      <c r="H22" s="19" t="s">
        <v>11</v>
      </c>
      <c r="I22" s="20">
        <v>15000</v>
      </c>
      <c r="J22" s="20">
        <f t="shared" si="0"/>
        <v>0</v>
      </c>
      <c r="K22" s="21">
        <f>'Copy of All Sales'!$G22-'Copy of All Sales'!$I22</f>
        <v>-1203</v>
      </c>
    </row>
    <row r="23" spans="1:11" x14ac:dyDescent="0.25">
      <c r="A23" s="22">
        <v>44256</v>
      </c>
      <c r="B23" s="23" t="s">
        <v>69</v>
      </c>
      <c r="C23" s="23" t="s">
        <v>70</v>
      </c>
      <c r="D23" s="23" t="s">
        <v>68</v>
      </c>
      <c r="E23" s="23" t="str">
        <v>Bryan Maldonado</v>
      </c>
      <c r="F23" s="23" t="s">
        <v>10</v>
      </c>
      <c r="G23" s="24">
        <v>14063</v>
      </c>
      <c r="H23" s="23" t="s">
        <v>15</v>
      </c>
      <c r="I23" s="24">
        <v>15000</v>
      </c>
      <c r="J23" s="24">
        <f t="shared" si="0"/>
        <v>0</v>
      </c>
      <c r="K23" s="25">
        <f>'Copy of All Sales'!$G23-'Copy of All Sales'!$I23</f>
        <v>-937</v>
      </c>
    </row>
    <row r="24" spans="1:11" x14ac:dyDescent="0.25">
      <c r="A24" s="18">
        <v>44256</v>
      </c>
      <c r="B24" s="19" t="s">
        <v>17</v>
      </c>
      <c r="C24" s="19" t="s">
        <v>18</v>
      </c>
      <c r="D24" s="19" t="s">
        <v>16</v>
      </c>
      <c r="E24" s="19" t="str">
        <v>Reza Jafari</v>
      </c>
      <c r="F24" s="19" t="s">
        <v>10</v>
      </c>
      <c r="G24" s="20">
        <v>14608.300000000001</v>
      </c>
      <c r="H24" s="19" t="s">
        <v>11</v>
      </c>
      <c r="I24" s="20">
        <v>15000</v>
      </c>
      <c r="J24" s="20">
        <f t="shared" si="0"/>
        <v>0</v>
      </c>
      <c r="K24" s="21">
        <f>'Copy of All Sales'!$G24-'Copy of All Sales'!$I24</f>
        <v>-391.69999999999891</v>
      </c>
    </row>
    <row r="25" spans="1:11" x14ac:dyDescent="0.25">
      <c r="A25" s="22">
        <v>44256</v>
      </c>
      <c r="B25" s="23" t="s">
        <v>28</v>
      </c>
      <c r="C25" s="23" t="s">
        <v>29</v>
      </c>
      <c r="D25" s="23" t="s">
        <v>27</v>
      </c>
      <c r="E25" s="23" t="str">
        <v>Gordon Beswick</v>
      </c>
      <c r="F25" s="23" t="s">
        <v>10</v>
      </c>
      <c r="G25" s="24">
        <v>16063.199999999999</v>
      </c>
      <c r="H25" s="23" t="s">
        <v>15</v>
      </c>
      <c r="I25" s="24">
        <v>15000</v>
      </c>
      <c r="J25" s="24">
        <f t="shared" si="0"/>
        <v>1606.32</v>
      </c>
      <c r="K25" s="25">
        <f>'Copy of All Sales'!$G25-'Copy of All Sales'!$I25</f>
        <v>1063.1999999999989</v>
      </c>
    </row>
    <row r="26" spans="1:11" x14ac:dyDescent="0.25">
      <c r="A26" s="18">
        <v>44256</v>
      </c>
      <c r="B26" s="19" t="s">
        <v>13</v>
      </c>
      <c r="C26" s="19" t="s">
        <v>14</v>
      </c>
      <c r="D26" s="19" t="s">
        <v>12</v>
      </c>
      <c r="E26" s="19" t="str">
        <v>Derek Godwin</v>
      </c>
      <c r="F26" s="19" t="s">
        <v>10</v>
      </c>
      <c r="G26" s="20">
        <v>16836</v>
      </c>
      <c r="H26" s="19" t="s">
        <v>11</v>
      </c>
      <c r="I26" s="20">
        <v>15000</v>
      </c>
      <c r="J26" s="20">
        <f t="shared" si="0"/>
        <v>1683.6000000000001</v>
      </c>
      <c r="K26" s="21">
        <f>'Copy of All Sales'!$G26-'Copy of All Sales'!$I26</f>
        <v>1836</v>
      </c>
    </row>
    <row r="27" spans="1:11" x14ac:dyDescent="0.25">
      <c r="A27" s="22">
        <v>44256</v>
      </c>
      <c r="B27" s="23" t="s">
        <v>28</v>
      </c>
      <c r="C27" s="23" t="s">
        <v>29</v>
      </c>
      <c r="D27" s="23" t="s">
        <v>27</v>
      </c>
      <c r="E27" s="23" t="str">
        <v>Gordon Beswick</v>
      </c>
      <c r="F27" s="23" t="s">
        <v>10</v>
      </c>
      <c r="G27" s="24">
        <v>19594</v>
      </c>
      <c r="H27" s="23" t="s">
        <v>43</v>
      </c>
      <c r="I27" s="24">
        <v>15000</v>
      </c>
      <c r="J27" s="24">
        <f t="shared" si="0"/>
        <v>1959.4</v>
      </c>
      <c r="K27" s="25">
        <f>'Copy of All Sales'!$G27-'Copy of All Sales'!$I27</f>
        <v>4594</v>
      </c>
    </row>
    <row r="28" spans="1:11" x14ac:dyDescent="0.25">
      <c r="A28" s="18">
        <v>44256</v>
      </c>
      <c r="B28" s="19" t="s">
        <v>13</v>
      </c>
      <c r="C28" s="19" t="s">
        <v>14</v>
      </c>
      <c r="D28" s="19" t="s">
        <v>12</v>
      </c>
      <c r="E28" s="19" t="str">
        <v>Derek Godwin</v>
      </c>
      <c r="F28" s="19" t="s">
        <v>10</v>
      </c>
      <c r="G28" s="20">
        <v>21654.400000000001</v>
      </c>
      <c r="H28" s="19" t="s">
        <v>15</v>
      </c>
      <c r="I28" s="20">
        <v>15000</v>
      </c>
      <c r="J28" s="20">
        <f t="shared" si="0"/>
        <v>2165.44</v>
      </c>
      <c r="K28" s="21">
        <f>'Copy of All Sales'!$G28-'Copy of All Sales'!$I28</f>
        <v>6654.4000000000015</v>
      </c>
    </row>
    <row r="29" spans="1:11" x14ac:dyDescent="0.25">
      <c r="A29" s="22">
        <v>44256</v>
      </c>
      <c r="B29" s="23" t="s">
        <v>69</v>
      </c>
      <c r="C29" s="23" t="s">
        <v>70</v>
      </c>
      <c r="D29" s="23" t="s">
        <v>68</v>
      </c>
      <c r="E29" s="23" t="str">
        <v>Bryan Maldonado</v>
      </c>
      <c r="F29" s="23" t="s">
        <v>10</v>
      </c>
      <c r="G29" s="24">
        <v>27930</v>
      </c>
      <c r="H29" s="23" t="s">
        <v>11</v>
      </c>
      <c r="I29" s="24">
        <v>15000</v>
      </c>
      <c r="J29" s="24">
        <f t="shared" si="0"/>
        <v>2793</v>
      </c>
      <c r="K29" s="25">
        <f>'Copy of All Sales'!$G29-'Copy of All Sales'!$I29</f>
        <v>12930</v>
      </c>
    </row>
    <row r="30" spans="1:11" x14ac:dyDescent="0.25">
      <c r="A30" s="18">
        <v>44256</v>
      </c>
      <c r="B30" s="19" t="s">
        <v>8</v>
      </c>
      <c r="C30" s="19" t="s">
        <v>9</v>
      </c>
      <c r="D30" s="19" t="s">
        <v>7</v>
      </c>
      <c r="E30" s="19" t="str">
        <v>Ashley Almanza</v>
      </c>
      <c r="F30" s="19" t="s">
        <v>10</v>
      </c>
      <c r="G30" s="20">
        <v>39065.899999999994</v>
      </c>
      <c r="H30" s="19" t="s">
        <v>15</v>
      </c>
      <c r="I30" s="20">
        <v>15000</v>
      </c>
      <c r="J30" s="20">
        <f t="shared" si="0"/>
        <v>3906.5899999999997</v>
      </c>
      <c r="K30" s="21">
        <f>'Copy of All Sales'!$G30-'Copy of All Sales'!$I30</f>
        <v>24065.899999999994</v>
      </c>
    </row>
    <row r="31" spans="1:11" x14ac:dyDescent="0.25">
      <c r="A31" s="22">
        <v>44256</v>
      </c>
      <c r="B31" s="23" t="s">
        <v>28</v>
      </c>
      <c r="C31" s="23" t="s">
        <v>29</v>
      </c>
      <c r="D31" s="23" t="s">
        <v>27</v>
      </c>
      <c r="E31" s="23" t="str">
        <v>Gordon Beswick</v>
      </c>
      <c r="F31" s="23" t="s">
        <v>10</v>
      </c>
      <c r="G31" s="24">
        <v>44422</v>
      </c>
      <c r="H31" s="23" t="s">
        <v>43</v>
      </c>
      <c r="I31" s="24">
        <v>15000</v>
      </c>
      <c r="J31" s="24">
        <f t="shared" si="0"/>
        <v>4442.2</v>
      </c>
      <c r="K31" s="25">
        <f>'Copy of All Sales'!$G31-'Copy of All Sales'!$I31</f>
        <v>29422</v>
      </c>
    </row>
    <row r="32" spans="1:11" x14ac:dyDescent="0.25">
      <c r="A32" s="18">
        <v>44287</v>
      </c>
      <c r="B32" s="19" t="s">
        <v>69</v>
      </c>
      <c r="C32" s="19" t="s">
        <v>70</v>
      </c>
      <c r="D32" s="19" t="s">
        <v>68</v>
      </c>
      <c r="E32" s="19" t="str">
        <v>Bryan Maldonado</v>
      </c>
      <c r="F32" s="19" t="s">
        <v>10</v>
      </c>
      <c r="G32" s="20">
        <v>7029.9</v>
      </c>
      <c r="H32" s="19" t="s">
        <v>43</v>
      </c>
      <c r="I32" s="20">
        <v>15000</v>
      </c>
      <c r="J32" s="20">
        <f t="shared" si="0"/>
        <v>0</v>
      </c>
      <c r="K32" s="21">
        <f>'Copy of All Sales'!$G32-'Copy of All Sales'!$I32</f>
        <v>-7970.1</v>
      </c>
    </row>
    <row r="33" spans="1:11" x14ac:dyDescent="0.25">
      <c r="A33" s="22">
        <v>44287</v>
      </c>
      <c r="B33" s="23" t="s">
        <v>69</v>
      </c>
      <c r="C33" s="23" t="s">
        <v>70</v>
      </c>
      <c r="D33" s="23" t="s">
        <v>68</v>
      </c>
      <c r="E33" s="23" t="str">
        <v>Bryan Maldonado</v>
      </c>
      <c r="F33" s="23" t="s">
        <v>10</v>
      </c>
      <c r="G33" s="24">
        <v>11914.400000000001</v>
      </c>
      <c r="H33" s="23" t="s">
        <v>15</v>
      </c>
      <c r="I33" s="24">
        <v>15000</v>
      </c>
      <c r="J33" s="24">
        <f t="shared" si="0"/>
        <v>0</v>
      </c>
      <c r="K33" s="25">
        <f>'Copy of All Sales'!$G33-'Copy of All Sales'!$I33</f>
        <v>-3085.5999999999985</v>
      </c>
    </row>
    <row r="34" spans="1:11" x14ac:dyDescent="0.25">
      <c r="A34" s="18">
        <v>44287</v>
      </c>
      <c r="B34" s="19" t="s">
        <v>8</v>
      </c>
      <c r="C34" s="19" t="s">
        <v>9</v>
      </c>
      <c r="D34" s="19" t="s">
        <v>7</v>
      </c>
      <c r="E34" s="19" t="str">
        <v>Ashley Almanza</v>
      </c>
      <c r="F34" s="19" t="s">
        <v>10</v>
      </c>
      <c r="G34" s="20">
        <v>15919.7</v>
      </c>
      <c r="H34" s="19" t="s">
        <v>11</v>
      </c>
      <c r="I34" s="20">
        <v>15000</v>
      </c>
      <c r="J34" s="20">
        <f t="shared" si="0"/>
        <v>1591.9700000000003</v>
      </c>
      <c r="K34" s="21">
        <f>'Copy of All Sales'!$G34-'Copy of All Sales'!$I34</f>
        <v>919.70000000000073</v>
      </c>
    </row>
    <row r="35" spans="1:11" x14ac:dyDescent="0.25">
      <c r="A35" s="22">
        <v>44287</v>
      </c>
      <c r="B35" s="23" t="s">
        <v>17</v>
      </c>
      <c r="C35" s="23" t="s">
        <v>18</v>
      </c>
      <c r="D35" s="23" t="s">
        <v>16</v>
      </c>
      <c r="E35" s="23" t="str">
        <v>Reza Jafari</v>
      </c>
      <c r="F35" s="23" t="s">
        <v>10</v>
      </c>
      <c r="G35" s="24">
        <v>17776</v>
      </c>
      <c r="H35" s="23" t="s">
        <v>43</v>
      </c>
      <c r="I35" s="24">
        <v>15000</v>
      </c>
      <c r="J35" s="24">
        <f t="shared" si="0"/>
        <v>1777.6000000000001</v>
      </c>
      <c r="K35" s="25">
        <f>'Copy of All Sales'!$G35-'Copy of All Sales'!$I35</f>
        <v>2776</v>
      </c>
    </row>
    <row r="36" spans="1:11" x14ac:dyDescent="0.25">
      <c r="A36" s="18">
        <v>44287</v>
      </c>
      <c r="B36" s="19" t="s">
        <v>28</v>
      </c>
      <c r="C36" s="19" t="s">
        <v>29</v>
      </c>
      <c r="D36" s="19" t="s">
        <v>27</v>
      </c>
      <c r="E36" s="19" t="str">
        <v>Gordon Beswick</v>
      </c>
      <c r="F36" s="19" t="s">
        <v>10</v>
      </c>
      <c r="G36" s="20">
        <v>36666</v>
      </c>
      <c r="H36" s="19" t="s">
        <v>15</v>
      </c>
      <c r="I36" s="20">
        <v>15000</v>
      </c>
      <c r="J36" s="20">
        <f t="shared" si="0"/>
        <v>3666.6000000000004</v>
      </c>
      <c r="K36" s="21">
        <f>'Copy of All Sales'!$G36-'Copy of All Sales'!$I36</f>
        <v>21666</v>
      </c>
    </row>
    <row r="37" spans="1:11" x14ac:dyDescent="0.25">
      <c r="A37" s="22">
        <v>44287</v>
      </c>
      <c r="B37" s="23" t="s">
        <v>17</v>
      </c>
      <c r="C37" s="23" t="s">
        <v>18</v>
      </c>
      <c r="D37" s="23" t="s">
        <v>16</v>
      </c>
      <c r="E37" s="23" t="str">
        <v>Reza Jafari</v>
      </c>
      <c r="F37" s="23" t="s">
        <v>10</v>
      </c>
      <c r="G37" s="24">
        <v>38227.699999999997</v>
      </c>
      <c r="H37" s="23" t="s">
        <v>11</v>
      </c>
      <c r="I37" s="24">
        <v>15000</v>
      </c>
      <c r="J37" s="24">
        <f t="shared" si="0"/>
        <v>3822.77</v>
      </c>
      <c r="K37" s="25">
        <f>'Copy of All Sales'!$G37-'Copy of All Sales'!$I37</f>
        <v>23227.699999999997</v>
      </c>
    </row>
    <row r="38" spans="1:11" x14ac:dyDescent="0.25">
      <c r="A38" s="18">
        <v>44287</v>
      </c>
      <c r="B38" s="19" t="s">
        <v>17</v>
      </c>
      <c r="C38" s="19" t="s">
        <v>18</v>
      </c>
      <c r="D38" s="19" t="s">
        <v>16</v>
      </c>
      <c r="E38" s="19" t="str">
        <v>Reza Jafari</v>
      </c>
      <c r="F38" s="19" t="s">
        <v>10</v>
      </c>
      <c r="G38" s="20">
        <v>51531.199999999997</v>
      </c>
      <c r="H38" s="19" t="s">
        <v>43</v>
      </c>
      <c r="I38" s="20">
        <v>15000</v>
      </c>
      <c r="J38" s="20">
        <f t="shared" si="0"/>
        <v>5153.12</v>
      </c>
      <c r="K38" s="21">
        <f>'Copy of All Sales'!$G38-'Copy of All Sales'!$I38</f>
        <v>36531.199999999997</v>
      </c>
    </row>
    <row r="39" spans="1:11" x14ac:dyDescent="0.25">
      <c r="A39" s="22">
        <v>44317</v>
      </c>
      <c r="B39" s="23" t="s">
        <v>13</v>
      </c>
      <c r="C39" s="23" t="s">
        <v>14</v>
      </c>
      <c r="D39" s="23" t="s">
        <v>12</v>
      </c>
      <c r="E39" s="23" t="str">
        <v>Derek Godwin</v>
      </c>
      <c r="F39" s="23" t="s">
        <v>10</v>
      </c>
      <c r="G39" s="24">
        <v>8686.6</v>
      </c>
      <c r="H39" s="23" t="s">
        <v>15</v>
      </c>
      <c r="I39" s="24">
        <v>15000</v>
      </c>
      <c r="J39" s="24">
        <f t="shared" si="0"/>
        <v>0</v>
      </c>
      <c r="K39" s="25">
        <f>'Copy of All Sales'!$G39-'Copy of All Sales'!$I39</f>
        <v>-6313.4</v>
      </c>
    </row>
    <row r="40" spans="1:11" x14ac:dyDescent="0.25">
      <c r="A40" s="18">
        <v>44317</v>
      </c>
      <c r="B40" s="19" t="s">
        <v>17</v>
      </c>
      <c r="C40" s="19" t="s">
        <v>18</v>
      </c>
      <c r="D40" s="19" t="s">
        <v>16</v>
      </c>
      <c r="E40" s="19" t="str">
        <v>Reza Jafari</v>
      </c>
      <c r="F40" s="19" t="s">
        <v>10</v>
      </c>
      <c r="G40" s="20">
        <v>12422.2</v>
      </c>
      <c r="H40" s="19" t="s">
        <v>43</v>
      </c>
      <c r="I40" s="20">
        <v>15000</v>
      </c>
      <c r="J40" s="20">
        <f t="shared" si="0"/>
        <v>0</v>
      </c>
      <c r="K40" s="21">
        <f>'Copy of All Sales'!$G40-'Copy of All Sales'!$I40</f>
        <v>-2577.7999999999993</v>
      </c>
    </row>
    <row r="41" spans="1:11" x14ac:dyDescent="0.25">
      <c r="A41" s="22">
        <v>44317</v>
      </c>
      <c r="B41" s="23" t="s">
        <v>28</v>
      </c>
      <c r="C41" s="23" t="s">
        <v>29</v>
      </c>
      <c r="D41" s="23" t="s">
        <v>27</v>
      </c>
      <c r="E41" s="23" t="str">
        <v>Gordon Beswick</v>
      </c>
      <c r="F41" s="23" t="s">
        <v>10</v>
      </c>
      <c r="G41" s="24">
        <v>15120</v>
      </c>
      <c r="H41" s="23" t="s">
        <v>15</v>
      </c>
      <c r="I41" s="24">
        <v>15000</v>
      </c>
      <c r="J41" s="24">
        <f t="shared" si="0"/>
        <v>1512</v>
      </c>
      <c r="K41" s="25">
        <f>'Copy of All Sales'!$G41-'Copy of All Sales'!$I41</f>
        <v>120</v>
      </c>
    </row>
    <row r="42" spans="1:11" x14ac:dyDescent="0.25">
      <c r="A42" s="18">
        <v>44317</v>
      </c>
      <c r="B42" s="19" t="s">
        <v>13</v>
      </c>
      <c r="C42" s="19" t="s">
        <v>14</v>
      </c>
      <c r="D42" s="19" t="s">
        <v>12</v>
      </c>
      <c r="E42" s="19" t="str">
        <v>Derek Godwin</v>
      </c>
      <c r="F42" s="19" t="s">
        <v>10</v>
      </c>
      <c r="G42" s="20">
        <v>16604.400000000001</v>
      </c>
      <c r="H42" s="19" t="s">
        <v>43</v>
      </c>
      <c r="I42" s="20">
        <v>15000</v>
      </c>
      <c r="J42" s="20">
        <f t="shared" si="0"/>
        <v>1660.4400000000003</v>
      </c>
      <c r="K42" s="21">
        <f>'Copy of All Sales'!$G42-'Copy of All Sales'!$I42</f>
        <v>1604.4000000000015</v>
      </c>
    </row>
    <row r="43" spans="1:11" x14ac:dyDescent="0.25">
      <c r="A43" s="22">
        <v>44317</v>
      </c>
      <c r="B43" s="23" t="s">
        <v>17</v>
      </c>
      <c r="C43" s="23" t="s">
        <v>18</v>
      </c>
      <c r="D43" s="23" t="s">
        <v>16</v>
      </c>
      <c r="E43" s="23" t="str">
        <v>Reza Jafari</v>
      </c>
      <c r="F43" s="23" t="s">
        <v>10</v>
      </c>
      <c r="G43" s="24">
        <v>19584</v>
      </c>
      <c r="H43" s="23" t="s">
        <v>15</v>
      </c>
      <c r="I43" s="24">
        <v>15000</v>
      </c>
      <c r="J43" s="24">
        <f t="shared" si="0"/>
        <v>1958.4</v>
      </c>
      <c r="K43" s="25">
        <f>'Copy of All Sales'!$G43-'Copy of All Sales'!$I43</f>
        <v>4584</v>
      </c>
    </row>
    <row r="44" spans="1:11" x14ac:dyDescent="0.25">
      <c r="A44" s="18">
        <v>44317</v>
      </c>
      <c r="B44" s="19" t="s">
        <v>8</v>
      </c>
      <c r="C44" s="19" t="s">
        <v>9</v>
      </c>
      <c r="D44" s="19" t="s">
        <v>7</v>
      </c>
      <c r="E44" s="19" t="str">
        <v>Ashley Almanza</v>
      </c>
      <c r="F44" s="19" t="s">
        <v>10</v>
      </c>
      <c r="G44" s="20">
        <v>26546.6</v>
      </c>
      <c r="H44" s="19" t="s">
        <v>15</v>
      </c>
      <c r="I44" s="20">
        <v>15000</v>
      </c>
      <c r="J44" s="20">
        <f t="shared" si="0"/>
        <v>2654.66</v>
      </c>
      <c r="K44" s="21">
        <f>'Copy of All Sales'!$G44-'Copy of All Sales'!$I44</f>
        <v>11546.599999999999</v>
      </c>
    </row>
    <row r="45" spans="1:11" x14ac:dyDescent="0.25">
      <c r="A45" s="22">
        <v>44317</v>
      </c>
      <c r="B45" s="23" t="s">
        <v>8</v>
      </c>
      <c r="C45" s="23" t="s">
        <v>9</v>
      </c>
      <c r="D45" s="23" t="s">
        <v>7</v>
      </c>
      <c r="E45" s="23" t="str">
        <v>Ashley Almanza</v>
      </c>
      <c r="F45" s="23" t="s">
        <v>10</v>
      </c>
      <c r="G45" s="24">
        <v>31200</v>
      </c>
      <c r="H45" s="23" t="s">
        <v>15</v>
      </c>
      <c r="I45" s="24">
        <v>15000</v>
      </c>
      <c r="J45" s="24">
        <f t="shared" si="0"/>
        <v>3120</v>
      </c>
      <c r="K45" s="25">
        <f>'Copy of All Sales'!$G45-'Copy of All Sales'!$I45</f>
        <v>16200</v>
      </c>
    </row>
    <row r="46" spans="1:11" x14ac:dyDescent="0.25">
      <c r="A46" s="18">
        <v>44348</v>
      </c>
      <c r="B46" s="19" t="s">
        <v>8</v>
      </c>
      <c r="C46" s="19" t="s">
        <v>9</v>
      </c>
      <c r="D46" s="19" t="s">
        <v>7</v>
      </c>
      <c r="E46" s="19" t="str">
        <v>Ashley Almanza</v>
      </c>
      <c r="F46" s="19" t="s">
        <v>10</v>
      </c>
      <c r="G46" s="20">
        <v>2070.2999999999997</v>
      </c>
      <c r="H46" s="19" t="s">
        <v>11</v>
      </c>
      <c r="I46" s="20">
        <v>15000</v>
      </c>
      <c r="J46" s="20">
        <f t="shared" si="0"/>
        <v>0</v>
      </c>
      <c r="K46" s="21">
        <f>'Copy of All Sales'!$G46-'Copy of All Sales'!$I46</f>
        <v>-12929.7</v>
      </c>
    </row>
    <row r="47" spans="1:11" x14ac:dyDescent="0.25">
      <c r="A47" s="22">
        <v>44348</v>
      </c>
      <c r="B47" s="23" t="s">
        <v>17</v>
      </c>
      <c r="C47" s="23" t="s">
        <v>18</v>
      </c>
      <c r="D47" s="23" t="s">
        <v>16</v>
      </c>
      <c r="E47" s="23" t="str">
        <v>Reza Jafari</v>
      </c>
      <c r="F47" s="23" t="s">
        <v>10</v>
      </c>
      <c r="G47" s="24">
        <v>9499</v>
      </c>
      <c r="H47" s="23" t="s">
        <v>15</v>
      </c>
      <c r="I47" s="24">
        <v>15000</v>
      </c>
      <c r="J47" s="24">
        <f t="shared" si="0"/>
        <v>0</v>
      </c>
      <c r="K47" s="25">
        <f>'Copy of All Sales'!$G47-'Copy of All Sales'!$I47</f>
        <v>-5501</v>
      </c>
    </row>
    <row r="48" spans="1:11" x14ac:dyDescent="0.25">
      <c r="A48" s="18">
        <v>44348</v>
      </c>
      <c r="B48" s="19" t="s">
        <v>17</v>
      </c>
      <c r="C48" s="19" t="s">
        <v>18</v>
      </c>
      <c r="D48" s="19" t="s">
        <v>16</v>
      </c>
      <c r="E48" s="19" t="str">
        <v>Reza Jafari</v>
      </c>
      <c r="F48" s="19" t="s">
        <v>10</v>
      </c>
      <c r="G48" s="20">
        <v>17904.7</v>
      </c>
      <c r="H48" s="19" t="s">
        <v>43</v>
      </c>
      <c r="I48" s="20">
        <v>15000</v>
      </c>
      <c r="J48" s="20">
        <f t="shared" si="0"/>
        <v>1790.4700000000003</v>
      </c>
      <c r="K48" s="21">
        <f>'Copy of All Sales'!$G48-'Copy of All Sales'!$I48</f>
        <v>2904.7000000000007</v>
      </c>
    </row>
    <row r="49" spans="1:11" x14ac:dyDescent="0.25">
      <c r="A49" s="22">
        <v>44348</v>
      </c>
      <c r="B49" s="23" t="s">
        <v>17</v>
      </c>
      <c r="C49" s="23" t="s">
        <v>18</v>
      </c>
      <c r="D49" s="23" t="s">
        <v>16</v>
      </c>
      <c r="E49" s="23" t="str">
        <v>Reza Jafari</v>
      </c>
      <c r="F49" s="23" t="s">
        <v>10</v>
      </c>
      <c r="G49" s="24">
        <v>18878.399999999998</v>
      </c>
      <c r="H49" s="23" t="s">
        <v>15</v>
      </c>
      <c r="I49" s="24">
        <v>15000</v>
      </c>
      <c r="J49" s="24">
        <f t="shared" si="0"/>
        <v>1887.84</v>
      </c>
      <c r="K49" s="25">
        <f>'Copy of All Sales'!$G49-'Copy of All Sales'!$I49</f>
        <v>3878.3999999999978</v>
      </c>
    </row>
    <row r="50" spans="1:11" x14ac:dyDescent="0.25">
      <c r="A50" s="18">
        <v>44348</v>
      </c>
      <c r="B50" s="19" t="s">
        <v>17</v>
      </c>
      <c r="C50" s="19" t="s">
        <v>18</v>
      </c>
      <c r="D50" s="19" t="s">
        <v>16</v>
      </c>
      <c r="E50" s="19" t="str">
        <v>Reza Jafari</v>
      </c>
      <c r="F50" s="19" t="s">
        <v>10</v>
      </c>
      <c r="G50" s="20">
        <v>23445</v>
      </c>
      <c r="H50" s="19" t="s">
        <v>15</v>
      </c>
      <c r="I50" s="20">
        <v>15000</v>
      </c>
      <c r="J50" s="20">
        <f t="shared" si="0"/>
        <v>2344.5</v>
      </c>
      <c r="K50" s="21">
        <f>'Copy of All Sales'!$G50-'Copy of All Sales'!$I50</f>
        <v>8445</v>
      </c>
    </row>
    <row r="51" spans="1:11" x14ac:dyDescent="0.25">
      <c r="A51" s="22">
        <v>44348</v>
      </c>
      <c r="B51" s="23" t="s">
        <v>17</v>
      </c>
      <c r="C51" s="23" t="s">
        <v>18</v>
      </c>
      <c r="D51" s="23" t="s">
        <v>16</v>
      </c>
      <c r="E51" s="23" t="str">
        <v>Reza Jafari</v>
      </c>
      <c r="F51" s="23" t="s">
        <v>10</v>
      </c>
      <c r="G51" s="24">
        <v>34162</v>
      </c>
      <c r="H51" s="23" t="s">
        <v>15</v>
      </c>
      <c r="I51" s="24">
        <v>15000</v>
      </c>
      <c r="J51" s="24">
        <f t="shared" si="0"/>
        <v>3416.2000000000003</v>
      </c>
      <c r="K51" s="25">
        <f>'Copy of All Sales'!$G51-'Copy of All Sales'!$I51</f>
        <v>19162</v>
      </c>
    </row>
    <row r="52" spans="1:11" x14ac:dyDescent="0.25">
      <c r="A52" s="18">
        <v>44378</v>
      </c>
      <c r="B52" s="19" t="s">
        <v>17</v>
      </c>
      <c r="C52" s="19" t="s">
        <v>18</v>
      </c>
      <c r="D52" s="19" t="s">
        <v>16</v>
      </c>
      <c r="E52" s="19" t="str">
        <v>Reza Jafari</v>
      </c>
      <c r="F52" s="19" t="s">
        <v>10</v>
      </c>
      <c r="G52" s="20">
        <v>3055.2</v>
      </c>
      <c r="H52" s="19" t="s">
        <v>11</v>
      </c>
      <c r="I52" s="20">
        <v>15000</v>
      </c>
      <c r="J52" s="20">
        <f t="shared" si="0"/>
        <v>0</v>
      </c>
      <c r="K52" s="21">
        <f>'Copy of All Sales'!$G52-'Copy of All Sales'!$I52</f>
        <v>-11944.8</v>
      </c>
    </row>
    <row r="53" spans="1:11" x14ac:dyDescent="0.25">
      <c r="A53" s="22">
        <v>44378</v>
      </c>
      <c r="B53" s="23" t="s">
        <v>8</v>
      </c>
      <c r="C53" s="23" t="s">
        <v>9</v>
      </c>
      <c r="D53" s="23" t="s">
        <v>7</v>
      </c>
      <c r="E53" s="23" t="str">
        <v>Ashley Almanza</v>
      </c>
      <c r="F53" s="23" t="s">
        <v>10</v>
      </c>
      <c r="G53" s="24">
        <v>4843.4000000000005</v>
      </c>
      <c r="H53" s="23" t="s">
        <v>43</v>
      </c>
      <c r="I53" s="24">
        <v>15000</v>
      </c>
      <c r="J53" s="24">
        <f t="shared" si="0"/>
        <v>0</v>
      </c>
      <c r="K53" s="25">
        <f>'Copy of All Sales'!$G53-'Copy of All Sales'!$I53</f>
        <v>-10156.599999999999</v>
      </c>
    </row>
    <row r="54" spans="1:11" x14ac:dyDescent="0.25">
      <c r="A54" s="18">
        <v>44378</v>
      </c>
      <c r="B54" s="19" t="s">
        <v>13</v>
      </c>
      <c r="C54" s="19" t="s">
        <v>14</v>
      </c>
      <c r="D54" s="19" t="s">
        <v>12</v>
      </c>
      <c r="E54" s="19" t="str">
        <v>Derek Godwin</v>
      </c>
      <c r="F54" s="19" t="s">
        <v>10</v>
      </c>
      <c r="G54" s="20">
        <v>5215.2</v>
      </c>
      <c r="H54" s="19" t="s">
        <v>43</v>
      </c>
      <c r="I54" s="20">
        <v>15000</v>
      </c>
      <c r="J54" s="20">
        <f t="shared" si="0"/>
        <v>0</v>
      </c>
      <c r="K54" s="21">
        <f>'Copy of All Sales'!$G54-'Copy of All Sales'!$I54</f>
        <v>-9784.7999999999993</v>
      </c>
    </row>
    <row r="55" spans="1:11" x14ac:dyDescent="0.25">
      <c r="A55" s="22">
        <v>44378</v>
      </c>
      <c r="B55" s="23" t="s">
        <v>17</v>
      </c>
      <c r="C55" s="23" t="s">
        <v>18</v>
      </c>
      <c r="D55" s="23" t="s">
        <v>16</v>
      </c>
      <c r="E55" s="23" t="str">
        <v>Reza Jafari</v>
      </c>
      <c r="F55" s="23" t="s">
        <v>10</v>
      </c>
      <c r="G55" s="24">
        <v>7199.7000000000007</v>
      </c>
      <c r="H55" s="23" t="s">
        <v>43</v>
      </c>
      <c r="I55" s="24">
        <v>15000</v>
      </c>
      <c r="J55" s="24">
        <f t="shared" si="0"/>
        <v>0</v>
      </c>
      <c r="K55" s="25">
        <f>'Copy of All Sales'!$G55-'Copy of All Sales'!$I55</f>
        <v>-7800.2999999999993</v>
      </c>
    </row>
    <row r="56" spans="1:11" x14ac:dyDescent="0.25">
      <c r="A56" s="18">
        <v>44378</v>
      </c>
      <c r="B56" s="19" t="s">
        <v>69</v>
      </c>
      <c r="C56" s="19" t="s">
        <v>70</v>
      </c>
      <c r="D56" s="19" t="s">
        <v>68</v>
      </c>
      <c r="E56" s="19" t="str">
        <v>Bryan Maldonado</v>
      </c>
      <c r="F56" s="19" t="s">
        <v>10</v>
      </c>
      <c r="G56" s="20">
        <v>14670</v>
      </c>
      <c r="H56" s="19" t="s">
        <v>11</v>
      </c>
      <c r="I56" s="20">
        <v>15000</v>
      </c>
      <c r="J56" s="20">
        <f t="shared" si="0"/>
        <v>0</v>
      </c>
      <c r="K56" s="21">
        <f>'Copy of All Sales'!$G56-'Copy of All Sales'!$I56</f>
        <v>-330</v>
      </c>
    </row>
    <row r="57" spans="1:11" x14ac:dyDescent="0.25">
      <c r="A57" s="22">
        <v>44378</v>
      </c>
      <c r="B57" s="23" t="s">
        <v>8</v>
      </c>
      <c r="C57" s="23" t="s">
        <v>9</v>
      </c>
      <c r="D57" s="23" t="s">
        <v>7</v>
      </c>
      <c r="E57" s="23" t="str">
        <v>Ashley Almanza</v>
      </c>
      <c r="F57" s="23" t="s">
        <v>10</v>
      </c>
      <c r="G57" s="24">
        <v>16614.400000000001</v>
      </c>
      <c r="H57" s="23" t="s">
        <v>11</v>
      </c>
      <c r="I57" s="24">
        <v>15000</v>
      </c>
      <c r="J57" s="24">
        <f t="shared" si="0"/>
        <v>1661.4400000000003</v>
      </c>
      <c r="K57" s="25">
        <f>'Copy of All Sales'!$G57-'Copy of All Sales'!$I57</f>
        <v>1614.4000000000015</v>
      </c>
    </row>
    <row r="58" spans="1:11" x14ac:dyDescent="0.25">
      <c r="A58" s="18">
        <v>44378</v>
      </c>
      <c r="B58" s="19" t="s">
        <v>69</v>
      </c>
      <c r="C58" s="19" t="s">
        <v>70</v>
      </c>
      <c r="D58" s="19" t="s">
        <v>68</v>
      </c>
      <c r="E58" s="19" t="str">
        <v>Bryan Maldonado</v>
      </c>
      <c r="F58" s="19" t="s">
        <v>10</v>
      </c>
      <c r="G58" s="20">
        <v>20076.7</v>
      </c>
      <c r="H58" s="19" t="s">
        <v>43</v>
      </c>
      <c r="I58" s="20">
        <v>15000</v>
      </c>
      <c r="J58" s="20">
        <f t="shared" si="0"/>
        <v>2007.67</v>
      </c>
      <c r="K58" s="21">
        <f>'Copy of All Sales'!$G58-'Copy of All Sales'!$I58</f>
        <v>5076.7000000000007</v>
      </c>
    </row>
    <row r="59" spans="1:11" x14ac:dyDescent="0.25">
      <c r="A59" s="22">
        <v>44378</v>
      </c>
      <c r="B59" s="23" t="s">
        <v>17</v>
      </c>
      <c r="C59" s="23" t="s">
        <v>18</v>
      </c>
      <c r="D59" s="23" t="s">
        <v>16</v>
      </c>
      <c r="E59" s="23" t="str">
        <v>Reza Jafari</v>
      </c>
      <c r="F59" s="23" t="s">
        <v>10</v>
      </c>
      <c r="G59" s="24">
        <v>21482.999999999996</v>
      </c>
      <c r="H59" s="23" t="s">
        <v>43</v>
      </c>
      <c r="I59" s="24">
        <v>15000</v>
      </c>
      <c r="J59" s="24">
        <f t="shared" si="0"/>
        <v>2148.2999999999997</v>
      </c>
      <c r="K59" s="25">
        <f>'Copy of All Sales'!$G59-'Copy of All Sales'!$I59</f>
        <v>6482.9999999999964</v>
      </c>
    </row>
    <row r="60" spans="1:11" x14ac:dyDescent="0.25">
      <c r="A60" s="18">
        <v>44378</v>
      </c>
      <c r="B60" s="19" t="s">
        <v>28</v>
      </c>
      <c r="C60" s="19" t="s">
        <v>29</v>
      </c>
      <c r="D60" s="19" t="s">
        <v>27</v>
      </c>
      <c r="E60" s="19" t="str">
        <v>Gordon Beswick</v>
      </c>
      <c r="F60" s="19" t="s">
        <v>10</v>
      </c>
      <c r="G60" s="20">
        <v>30776.799999999999</v>
      </c>
      <c r="H60" s="19" t="s">
        <v>11</v>
      </c>
      <c r="I60" s="20">
        <v>15000</v>
      </c>
      <c r="J60" s="20">
        <f t="shared" si="0"/>
        <v>3077.6800000000003</v>
      </c>
      <c r="K60" s="21">
        <f>'Copy of All Sales'!$G60-'Copy of All Sales'!$I60</f>
        <v>15776.8</v>
      </c>
    </row>
    <row r="61" spans="1:11" x14ac:dyDescent="0.25">
      <c r="A61" s="22">
        <v>44409</v>
      </c>
      <c r="B61" s="23" t="s">
        <v>69</v>
      </c>
      <c r="C61" s="23" t="s">
        <v>70</v>
      </c>
      <c r="D61" s="23" t="s">
        <v>68</v>
      </c>
      <c r="E61" s="23" t="str">
        <v>Bryan Maldonado</v>
      </c>
      <c r="F61" s="23" t="s">
        <v>10</v>
      </c>
      <c r="G61" s="24">
        <v>8625</v>
      </c>
      <c r="H61" s="23" t="s">
        <v>15</v>
      </c>
      <c r="I61" s="24">
        <v>15000</v>
      </c>
      <c r="J61" s="24">
        <f t="shared" si="0"/>
        <v>0</v>
      </c>
      <c r="K61" s="25">
        <f>'Copy of All Sales'!$G61-'Copy of All Sales'!$I61</f>
        <v>-6375</v>
      </c>
    </row>
    <row r="62" spans="1:11" x14ac:dyDescent="0.25">
      <c r="A62" s="18">
        <v>44409</v>
      </c>
      <c r="B62" s="19" t="s">
        <v>17</v>
      </c>
      <c r="C62" s="19" t="s">
        <v>18</v>
      </c>
      <c r="D62" s="19" t="s">
        <v>16</v>
      </c>
      <c r="E62" s="19" t="str">
        <v>Reza Jafari</v>
      </c>
      <c r="F62" s="19" t="s">
        <v>10</v>
      </c>
      <c r="G62" s="20">
        <v>9794</v>
      </c>
      <c r="H62" s="19" t="s">
        <v>15</v>
      </c>
      <c r="I62" s="20">
        <v>15000</v>
      </c>
      <c r="J62" s="20">
        <f t="shared" si="0"/>
        <v>0</v>
      </c>
      <c r="K62" s="21">
        <f>'Copy of All Sales'!$G62-'Copy of All Sales'!$I62</f>
        <v>-5206</v>
      </c>
    </row>
    <row r="63" spans="1:11" x14ac:dyDescent="0.25">
      <c r="A63" s="22">
        <v>44409</v>
      </c>
      <c r="B63" s="23" t="s">
        <v>69</v>
      </c>
      <c r="C63" s="23" t="s">
        <v>70</v>
      </c>
      <c r="D63" s="23" t="s">
        <v>68</v>
      </c>
      <c r="E63" s="23" t="str">
        <v>Bryan Maldonado</v>
      </c>
      <c r="F63" s="23" t="s">
        <v>10</v>
      </c>
      <c r="G63" s="24">
        <v>16321.6</v>
      </c>
      <c r="H63" s="23" t="s">
        <v>11</v>
      </c>
      <c r="I63" s="24">
        <v>15000</v>
      </c>
      <c r="J63" s="24">
        <f t="shared" si="0"/>
        <v>1632.16</v>
      </c>
      <c r="K63" s="25">
        <f>'Copy of All Sales'!$G63-'Copy of All Sales'!$I63</f>
        <v>1321.6000000000004</v>
      </c>
    </row>
    <row r="64" spans="1:11" x14ac:dyDescent="0.25">
      <c r="A64" s="18">
        <v>44409</v>
      </c>
      <c r="B64" s="19" t="s">
        <v>17</v>
      </c>
      <c r="C64" s="19" t="s">
        <v>18</v>
      </c>
      <c r="D64" s="19" t="s">
        <v>16</v>
      </c>
      <c r="E64" s="19" t="str">
        <v>Reza Jafari</v>
      </c>
      <c r="F64" s="19" t="s">
        <v>10</v>
      </c>
      <c r="G64" s="20">
        <v>19678.8</v>
      </c>
      <c r="H64" s="19" t="s">
        <v>15</v>
      </c>
      <c r="I64" s="20">
        <v>15000</v>
      </c>
      <c r="J64" s="20">
        <f t="shared" si="0"/>
        <v>1967.88</v>
      </c>
      <c r="K64" s="21">
        <f>'Copy of All Sales'!$G64-'Copy of All Sales'!$I64</f>
        <v>4678.7999999999993</v>
      </c>
    </row>
    <row r="65" spans="1:11" x14ac:dyDescent="0.25">
      <c r="A65" s="22">
        <v>44409</v>
      </c>
      <c r="B65" s="23" t="s">
        <v>69</v>
      </c>
      <c r="C65" s="23" t="s">
        <v>70</v>
      </c>
      <c r="D65" s="23" t="s">
        <v>68</v>
      </c>
      <c r="E65" s="23" t="str">
        <v>Bryan Maldonado</v>
      </c>
      <c r="F65" s="23" t="s">
        <v>10</v>
      </c>
      <c r="G65" s="24">
        <v>33694.800000000003</v>
      </c>
      <c r="H65" s="23" t="s">
        <v>15</v>
      </c>
      <c r="I65" s="24">
        <v>15000</v>
      </c>
      <c r="J65" s="24">
        <f t="shared" si="0"/>
        <v>3369.4800000000005</v>
      </c>
      <c r="K65" s="25">
        <f>'Copy of All Sales'!$G65-'Copy of All Sales'!$I65</f>
        <v>18694.800000000003</v>
      </c>
    </row>
    <row r="66" spans="1:11" x14ac:dyDescent="0.25">
      <c r="A66" s="18">
        <v>44409</v>
      </c>
      <c r="B66" s="19" t="s">
        <v>13</v>
      </c>
      <c r="C66" s="19" t="s">
        <v>14</v>
      </c>
      <c r="D66" s="19" t="s">
        <v>12</v>
      </c>
      <c r="E66" s="19" t="str">
        <v>Derek Godwin</v>
      </c>
      <c r="F66" s="19" t="s">
        <v>10</v>
      </c>
      <c r="G66" s="20">
        <v>39236</v>
      </c>
      <c r="H66" s="19" t="s">
        <v>43</v>
      </c>
      <c r="I66" s="20">
        <v>15000</v>
      </c>
      <c r="J66" s="20">
        <f t="shared" ref="J66:J129" si="1">IF(G66&gt;=I66,G66*$M$2,0)</f>
        <v>3923.6000000000004</v>
      </c>
      <c r="K66" s="21">
        <f>'Copy of All Sales'!$G66-'Copy of All Sales'!$I66</f>
        <v>24236</v>
      </c>
    </row>
    <row r="67" spans="1:11" x14ac:dyDescent="0.25">
      <c r="A67" s="22">
        <v>44409</v>
      </c>
      <c r="B67" s="23" t="s">
        <v>17</v>
      </c>
      <c r="C67" s="23" t="s">
        <v>18</v>
      </c>
      <c r="D67" s="23" t="s">
        <v>16</v>
      </c>
      <c r="E67" s="23" t="str">
        <v>Reza Jafari</v>
      </c>
      <c r="F67" s="23" t="s">
        <v>10</v>
      </c>
      <c r="G67" s="24">
        <v>43088.2</v>
      </c>
      <c r="H67" s="23" t="s">
        <v>11</v>
      </c>
      <c r="I67" s="24">
        <v>15000</v>
      </c>
      <c r="J67" s="24">
        <f t="shared" si="1"/>
        <v>4308.82</v>
      </c>
      <c r="K67" s="25">
        <f>'Copy of All Sales'!$G67-'Copy of All Sales'!$I67</f>
        <v>28088.199999999997</v>
      </c>
    </row>
    <row r="68" spans="1:11" x14ac:dyDescent="0.25">
      <c r="A68" s="18">
        <v>44440</v>
      </c>
      <c r="B68" s="19" t="s">
        <v>8</v>
      </c>
      <c r="C68" s="19" t="s">
        <v>9</v>
      </c>
      <c r="D68" s="19" t="s">
        <v>7</v>
      </c>
      <c r="E68" s="19" t="str">
        <v>Ashley Almanza</v>
      </c>
      <c r="F68" s="19" t="s">
        <v>10</v>
      </c>
      <c r="G68" s="20">
        <v>5572.3</v>
      </c>
      <c r="H68" s="19" t="s">
        <v>11</v>
      </c>
      <c r="I68" s="20">
        <v>15000</v>
      </c>
      <c r="J68" s="20">
        <f t="shared" si="1"/>
        <v>0</v>
      </c>
      <c r="K68" s="21">
        <f>'Copy of All Sales'!$G68-'Copy of All Sales'!$I68</f>
        <v>-9427.7000000000007</v>
      </c>
    </row>
    <row r="69" spans="1:11" x14ac:dyDescent="0.25">
      <c r="A69" s="22">
        <v>44440</v>
      </c>
      <c r="B69" s="23" t="s">
        <v>17</v>
      </c>
      <c r="C69" s="23" t="s">
        <v>18</v>
      </c>
      <c r="D69" s="23" t="s">
        <v>16</v>
      </c>
      <c r="E69" s="23" t="str">
        <v>Reza Jafari</v>
      </c>
      <c r="F69" s="23" t="s">
        <v>10</v>
      </c>
      <c r="G69" s="24">
        <v>7496.9999999999991</v>
      </c>
      <c r="H69" s="23" t="s">
        <v>15</v>
      </c>
      <c r="I69" s="24">
        <v>15000</v>
      </c>
      <c r="J69" s="24">
        <f t="shared" si="1"/>
        <v>0</v>
      </c>
      <c r="K69" s="25">
        <f>'Copy of All Sales'!$G69-'Copy of All Sales'!$I69</f>
        <v>-7503.0000000000009</v>
      </c>
    </row>
    <row r="70" spans="1:11" x14ac:dyDescent="0.25">
      <c r="A70" s="18">
        <v>44440</v>
      </c>
      <c r="B70" s="19" t="s">
        <v>13</v>
      </c>
      <c r="C70" s="19" t="s">
        <v>14</v>
      </c>
      <c r="D70" s="19" t="s">
        <v>12</v>
      </c>
      <c r="E70" s="19" t="str">
        <v>Derek Godwin</v>
      </c>
      <c r="F70" s="19" t="s">
        <v>10</v>
      </c>
      <c r="G70" s="20">
        <v>9651.1999999999989</v>
      </c>
      <c r="H70" s="19" t="s">
        <v>11</v>
      </c>
      <c r="I70" s="20">
        <v>15000</v>
      </c>
      <c r="J70" s="20">
        <f t="shared" si="1"/>
        <v>0</v>
      </c>
      <c r="K70" s="21">
        <f>'Copy of All Sales'!$G70-'Copy of All Sales'!$I70</f>
        <v>-5348.8000000000011</v>
      </c>
    </row>
    <row r="71" spans="1:11" x14ac:dyDescent="0.25">
      <c r="A71" s="22">
        <v>44440</v>
      </c>
      <c r="B71" s="23" t="s">
        <v>8</v>
      </c>
      <c r="C71" s="23" t="s">
        <v>9</v>
      </c>
      <c r="D71" s="23" t="s">
        <v>7</v>
      </c>
      <c r="E71" s="23" t="str">
        <v>Ashley Almanza</v>
      </c>
      <c r="F71" s="23" t="s">
        <v>10</v>
      </c>
      <c r="G71" s="24">
        <v>10492.199999999997</v>
      </c>
      <c r="H71" s="23" t="s">
        <v>43</v>
      </c>
      <c r="I71" s="24">
        <v>15000</v>
      </c>
      <c r="J71" s="24">
        <f t="shared" si="1"/>
        <v>0</v>
      </c>
      <c r="K71" s="25">
        <f>'Copy of All Sales'!$G71-'Copy of All Sales'!$I71</f>
        <v>-4507.8000000000029</v>
      </c>
    </row>
    <row r="72" spans="1:11" x14ac:dyDescent="0.25">
      <c r="A72" s="18">
        <v>44440</v>
      </c>
      <c r="B72" s="19" t="s">
        <v>8</v>
      </c>
      <c r="C72" s="19" t="s">
        <v>9</v>
      </c>
      <c r="D72" s="19" t="s">
        <v>7</v>
      </c>
      <c r="E72" s="19" t="str">
        <v>Ashley Almanza</v>
      </c>
      <c r="F72" s="19" t="s">
        <v>10</v>
      </c>
      <c r="G72" s="20">
        <v>18396.7</v>
      </c>
      <c r="H72" s="19" t="s">
        <v>11</v>
      </c>
      <c r="I72" s="20">
        <v>15000</v>
      </c>
      <c r="J72" s="20">
        <f t="shared" si="1"/>
        <v>1839.67</v>
      </c>
      <c r="K72" s="21">
        <f>'Copy of All Sales'!$G72-'Copy of All Sales'!$I72</f>
        <v>3396.7000000000007</v>
      </c>
    </row>
    <row r="73" spans="1:11" x14ac:dyDescent="0.25">
      <c r="A73" s="22">
        <v>44440</v>
      </c>
      <c r="B73" s="23" t="s">
        <v>13</v>
      </c>
      <c r="C73" s="23" t="s">
        <v>14</v>
      </c>
      <c r="D73" s="23" t="s">
        <v>12</v>
      </c>
      <c r="E73" s="23" t="str">
        <v>Derek Godwin</v>
      </c>
      <c r="F73" s="23" t="s">
        <v>10</v>
      </c>
      <c r="G73" s="24">
        <v>23849.599999999999</v>
      </c>
      <c r="H73" s="23" t="s">
        <v>11</v>
      </c>
      <c r="I73" s="24">
        <v>15000</v>
      </c>
      <c r="J73" s="24">
        <f t="shared" si="1"/>
        <v>2384.96</v>
      </c>
      <c r="K73" s="25">
        <f>'Copy of All Sales'!$G73-'Copy of All Sales'!$I73</f>
        <v>8849.5999999999985</v>
      </c>
    </row>
    <row r="74" spans="1:11" x14ac:dyDescent="0.25">
      <c r="A74" s="18">
        <v>44440</v>
      </c>
      <c r="B74" s="19" t="s">
        <v>69</v>
      </c>
      <c r="C74" s="19" t="s">
        <v>70</v>
      </c>
      <c r="D74" s="19" t="s">
        <v>68</v>
      </c>
      <c r="E74" s="19" t="str">
        <v>Bryan Maldonado</v>
      </c>
      <c r="F74" s="19" t="s">
        <v>10</v>
      </c>
      <c r="G74" s="20">
        <v>23882.399999999998</v>
      </c>
      <c r="H74" s="19" t="s">
        <v>43</v>
      </c>
      <c r="I74" s="20">
        <v>15000</v>
      </c>
      <c r="J74" s="20">
        <f t="shared" si="1"/>
        <v>2388.2399999999998</v>
      </c>
      <c r="K74" s="21">
        <f>'Copy of All Sales'!$G74-'Copy of All Sales'!$I74</f>
        <v>8882.3999999999978</v>
      </c>
    </row>
    <row r="75" spans="1:11" x14ac:dyDescent="0.25">
      <c r="A75" s="22">
        <v>44440</v>
      </c>
      <c r="B75" s="23" t="s">
        <v>13</v>
      </c>
      <c r="C75" s="23" t="s">
        <v>14</v>
      </c>
      <c r="D75" s="23" t="s">
        <v>12</v>
      </c>
      <c r="E75" s="23" t="str">
        <v>Derek Godwin</v>
      </c>
      <c r="F75" s="23" t="s">
        <v>10</v>
      </c>
      <c r="G75" s="24">
        <v>34041.300000000003</v>
      </c>
      <c r="H75" s="23" t="s">
        <v>43</v>
      </c>
      <c r="I75" s="24">
        <v>15000</v>
      </c>
      <c r="J75" s="24">
        <f t="shared" si="1"/>
        <v>3404.1300000000006</v>
      </c>
      <c r="K75" s="25">
        <f>'Copy of All Sales'!$G75-'Copy of All Sales'!$I75</f>
        <v>19041.300000000003</v>
      </c>
    </row>
    <row r="76" spans="1:11" x14ac:dyDescent="0.25">
      <c r="A76" s="18">
        <v>44470</v>
      </c>
      <c r="B76" s="19" t="s">
        <v>28</v>
      </c>
      <c r="C76" s="19" t="s">
        <v>29</v>
      </c>
      <c r="D76" s="19" t="s">
        <v>27</v>
      </c>
      <c r="E76" s="19" t="str">
        <v>Gordon Beswick</v>
      </c>
      <c r="F76" s="19" t="s">
        <v>10</v>
      </c>
      <c r="G76" s="20">
        <v>3243.6000000000004</v>
      </c>
      <c r="H76" s="19" t="s">
        <v>11</v>
      </c>
      <c r="I76" s="20">
        <v>15000</v>
      </c>
      <c r="J76" s="20">
        <f t="shared" si="1"/>
        <v>0</v>
      </c>
      <c r="K76" s="21">
        <f>'Copy of All Sales'!$G76-'Copy of All Sales'!$I76</f>
        <v>-11756.4</v>
      </c>
    </row>
    <row r="77" spans="1:11" x14ac:dyDescent="0.25">
      <c r="A77" s="22">
        <v>44470</v>
      </c>
      <c r="B77" s="23" t="s">
        <v>17</v>
      </c>
      <c r="C77" s="23" t="s">
        <v>18</v>
      </c>
      <c r="D77" s="23" t="s">
        <v>16</v>
      </c>
      <c r="E77" s="23" t="str">
        <v>Reza Jafari</v>
      </c>
      <c r="F77" s="23" t="s">
        <v>10</v>
      </c>
      <c r="G77" s="24">
        <v>12633.599999999999</v>
      </c>
      <c r="H77" s="23" t="s">
        <v>15</v>
      </c>
      <c r="I77" s="24">
        <v>15000</v>
      </c>
      <c r="J77" s="24">
        <f t="shared" si="1"/>
        <v>0</v>
      </c>
      <c r="K77" s="25">
        <f>'Copy of All Sales'!$G77-'Copy of All Sales'!$I77</f>
        <v>-2366.4000000000015</v>
      </c>
    </row>
    <row r="78" spans="1:11" x14ac:dyDescent="0.25">
      <c r="A78" s="18">
        <v>44470</v>
      </c>
      <c r="B78" s="19" t="s">
        <v>28</v>
      </c>
      <c r="C78" s="19" t="s">
        <v>29</v>
      </c>
      <c r="D78" s="19" t="s">
        <v>27</v>
      </c>
      <c r="E78" s="19" t="str">
        <v>Gordon Beswick</v>
      </c>
      <c r="F78" s="19" t="s">
        <v>10</v>
      </c>
      <c r="G78" s="20">
        <v>12806.399999999998</v>
      </c>
      <c r="H78" s="19" t="s">
        <v>43</v>
      </c>
      <c r="I78" s="20">
        <v>15000</v>
      </c>
      <c r="J78" s="20">
        <f t="shared" si="1"/>
        <v>0</v>
      </c>
      <c r="K78" s="21">
        <f>'Copy of All Sales'!$G78-'Copy of All Sales'!$I78</f>
        <v>-2193.6000000000022</v>
      </c>
    </row>
    <row r="79" spans="1:11" x14ac:dyDescent="0.25">
      <c r="A79" s="22">
        <v>44470</v>
      </c>
      <c r="B79" s="23" t="s">
        <v>13</v>
      </c>
      <c r="C79" s="23" t="s">
        <v>14</v>
      </c>
      <c r="D79" s="23" t="s">
        <v>12</v>
      </c>
      <c r="E79" s="23" t="str">
        <v>Derek Godwin</v>
      </c>
      <c r="F79" s="23" t="s">
        <v>10</v>
      </c>
      <c r="G79" s="24">
        <v>20031.199999999997</v>
      </c>
      <c r="H79" s="23" t="s">
        <v>43</v>
      </c>
      <c r="I79" s="24">
        <v>15000</v>
      </c>
      <c r="J79" s="24">
        <f t="shared" si="1"/>
        <v>2003.12</v>
      </c>
      <c r="K79" s="25">
        <f>'Copy of All Sales'!$G79-'Copy of All Sales'!$I79</f>
        <v>5031.1999999999971</v>
      </c>
    </row>
    <row r="80" spans="1:11" x14ac:dyDescent="0.25">
      <c r="A80" s="18">
        <v>44470</v>
      </c>
      <c r="B80" s="19" t="s">
        <v>8</v>
      </c>
      <c r="C80" s="19" t="s">
        <v>9</v>
      </c>
      <c r="D80" s="19" t="s">
        <v>7</v>
      </c>
      <c r="E80" s="19" t="str">
        <v>Ashley Almanza</v>
      </c>
      <c r="F80" s="19" t="s">
        <v>10</v>
      </c>
      <c r="G80" s="20">
        <v>21485.200000000001</v>
      </c>
      <c r="H80" s="19" t="s">
        <v>15</v>
      </c>
      <c r="I80" s="20">
        <v>15000</v>
      </c>
      <c r="J80" s="20">
        <f t="shared" si="1"/>
        <v>2148.52</v>
      </c>
      <c r="K80" s="21">
        <f>'Copy of All Sales'!$G80-'Copy of All Sales'!$I80</f>
        <v>6485.2000000000007</v>
      </c>
    </row>
    <row r="81" spans="1:11" x14ac:dyDescent="0.25">
      <c r="A81" s="22">
        <v>44470</v>
      </c>
      <c r="B81" s="23" t="s">
        <v>69</v>
      </c>
      <c r="C81" s="23" t="s">
        <v>70</v>
      </c>
      <c r="D81" s="23" t="s">
        <v>68</v>
      </c>
      <c r="E81" s="23" t="str">
        <v>Bryan Maldonado</v>
      </c>
      <c r="F81" s="23" t="s">
        <v>10</v>
      </c>
      <c r="G81" s="24">
        <v>22607.200000000004</v>
      </c>
      <c r="H81" s="23" t="s">
        <v>11</v>
      </c>
      <c r="I81" s="24">
        <v>15000</v>
      </c>
      <c r="J81" s="24">
        <f t="shared" si="1"/>
        <v>2260.7200000000007</v>
      </c>
      <c r="K81" s="25">
        <f>'Copy of All Sales'!$G81-'Copy of All Sales'!$I81</f>
        <v>7607.2000000000044</v>
      </c>
    </row>
    <row r="82" spans="1:11" x14ac:dyDescent="0.25">
      <c r="A82" s="18">
        <v>44501</v>
      </c>
      <c r="B82" s="19" t="s">
        <v>13</v>
      </c>
      <c r="C82" s="19" t="s">
        <v>14</v>
      </c>
      <c r="D82" s="19" t="s">
        <v>12</v>
      </c>
      <c r="E82" s="19" t="str">
        <v>Derek Godwin</v>
      </c>
      <c r="F82" s="19" t="s">
        <v>10</v>
      </c>
      <c r="G82" s="20">
        <v>5130</v>
      </c>
      <c r="H82" s="19" t="s">
        <v>15</v>
      </c>
      <c r="I82" s="20">
        <v>15000</v>
      </c>
      <c r="J82" s="20">
        <f t="shared" si="1"/>
        <v>0</v>
      </c>
      <c r="K82" s="21">
        <f>'Copy of All Sales'!$G82-'Copy of All Sales'!$I82</f>
        <v>-9870</v>
      </c>
    </row>
    <row r="83" spans="1:11" x14ac:dyDescent="0.25">
      <c r="A83" s="22">
        <v>44501</v>
      </c>
      <c r="B83" s="23" t="s">
        <v>8</v>
      </c>
      <c r="C83" s="23" t="s">
        <v>9</v>
      </c>
      <c r="D83" s="23" t="s">
        <v>7</v>
      </c>
      <c r="E83" s="23" t="str">
        <v>Ashley Almanza</v>
      </c>
      <c r="F83" s="23" t="s">
        <v>10</v>
      </c>
      <c r="G83" s="24">
        <v>8810.9</v>
      </c>
      <c r="H83" s="23" t="s">
        <v>11</v>
      </c>
      <c r="I83" s="24">
        <v>15000</v>
      </c>
      <c r="J83" s="24">
        <f t="shared" si="1"/>
        <v>0</v>
      </c>
      <c r="K83" s="25">
        <f>'Copy of All Sales'!$G83-'Copy of All Sales'!$I83</f>
        <v>-6189.1</v>
      </c>
    </row>
    <row r="84" spans="1:11" x14ac:dyDescent="0.25">
      <c r="A84" s="18">
        <v>44501</v>
      </c>
      <c r="B84" s="19" t="s">
        <v>28</v>
      </c>
      <c r="C84" s="19" t="s">
        <v>29</v>
      </c>
      <c r="D84" s="19" t="s">
        <v>27</v>
      </c>
      <c r="E84" s="19" t="str">
        <v>Gordon Beswick</v>
      </c>
      <c r="F84" s="19" t="s">
        <v>10</v>
      </c>
      <c r="G84" s="20">
        <v>16606</v>
      </c>
      <c r="H84" s="19" t="s">
        <v>11</v>
      </c>
      <c r="I84" s="20">
        <v>15000</v>
      </c>
      <c r="J84" s="20">
        <f t="shared" si="1"/>
        <v>1660.6000000000001</v>
      </c>
      <c r="K84" s="21">
        <f>'Copy of All Sales'!$G84-'Copy of All Sales'!$I84</f>
        <v>1606</v>
      </c>
    </row>
    <row r="85" spans="1:11" x14ac:dyDescent="0.25">
      <c r="A85" s="22">
        <v>44501</v>
      </c>
      <c r="B85" s="23" t="s">
        <v>13</v>
      </c>
      <c r="C85" s="23" t="s">
        <v>14</v>
      </c>
      <c r="D85" s="23" t="s">
        <v>12</v>
      </c>
      <c r="E85" s="23" t="str">
        <v>Derek Godwin</v>
      </c>
      <c r="F85" s="23" t="s">
        <v>10</v>
      </c>
      <c r="G85" s="24">
        <v>17766</v>
      </c>
      <c r="H85" s="23" t="s">
        <v>11</v>
      </c>
      <c r="I85" s="24">
        <v>15000</v>
      </c>
      <c r="J85" s="24">
        <f t="shared" si="1"/>
        <v>1776.6000000000001</v>
      </c>
      <c r="K85" s="25">
        <f>'Copy of All Sales'!$G85-'Copy of All Sales'!$I85</f>
        <v>2766</v>
      </c>
    </row>
    <row r="86" spans="1:11" x14ac:dyDescent="0.25">
      <c r="A86" s="18">
        <v>44501</v>
      </c>
      <c r="B86" s="19" t="s">
        <v>17</v>
      </c>
      <c r="C86" s="19" t="s">
        <v>18</v>
      </c>
      <c r="D86" s="19" t="s">
        <v>16</v>
      </c>
      <c r="E86" s="19" t="str">
        <v>Reza Jafari</v>
      </c>
      <c r="F86" s="19" t="s">
        <v>10</v>
      </c>
      <c r="G86" s="20">
        <v>20916</v>
      </c>
      <c r="H86" s="19" t="s">
        <v>11</v>
      </c>
      <c r="I86" s="20">
        <v>15000</v>
      </c>
      <c r="J86" s="20">
        <f t="shared" si="1"/>
        <v>2091.6</v>
      </c>
      <c r="K86" s="21">
        <f>'Copy of All Sales'!$G86-'Copy of All Sales'!$I86</f>
        <v>5916</v>
      </c>
    </row>
    <row r="87" spans="1:11" x14ac:dyDescent="0.25">
      <c r="A87" s="22">
        <v>44501</v>
      </c>
      <c r="B87" s="23" t="s">
        <v>17</v>
      </c>
      <c r="C87" s="23" t="s">
        <v>18</v>
      </c>
      <c r="D87" s="23" t="s">
        <v>16</v>
      </c>
      <c r="E87" s="23" t="str">
        <v>Reza Jafari</v>
      </c>
      <c r="F87" s="23" t="s">
        <v>10</v>
      </c>
      <c r="G87" s="24">
        <v>22396.5</v>
      </c>
      <c r="H87" s="23" t="s">
        <v>43</v>
      </c>
      <c r="I87" s="24">
        <v>15000</v>
      </c>
      <c r="J87" s="24">
        <f t="shared" si="1"/>
        <v>2239.65</v>
      </c>
      <c r="K87" s="25">
        <f>'Copy of All Sales'!$G87-'Copy of All Sales'!$I87</f>
        <v>7396.5</v>
      </c>
    </row>
    <row r="88" spans="1:11" x14ac:dyDescent="0.25">
      <c r="A88" s="18">
        <v>44501</v>
      </c>
      <c r="B88" s="19" t="s">
        <v>13</v>
      </c>
      <c r="C88" s="19" t="s">
        <v>14</v>
      </c>
      <c r="D88" s="19" t="s">
        <v>12</v>
      </c>
      <c r="E88" s="19" t="str">
        <v>Derek Godwin</v>
      </c>
      <c r="F88" s="19" t="s">
        <v>10</v>
      </c>
      <c r="G88" s="20">
        <v>25633.5</v>
      </c>
      <c r="H88" s="19" t="s">
        <v>15</v>
      </c>
      <c r="I88" s="20">
        <v>15000</v>
      </c>
      <c r="J88" s="20">
        <f t="shared" si="1"/>
        <v>2563.3500000000004</v>
      </c>
      <c r="K88" s="21">
        <f>'Copy of All Sales'!$G88-'Copy of All Sales'!$I88</f>
        <v>10633.5</v>
      </c>
    </row>
    <row r="89" spans="1:11" x14ac:dyDescent="0.25">
      <c r="A89" s="22">
        <v>44501</v>
      </c>
      <c r="B89" s="23" t="s">
        <v>17</v>
      </c>
      <c r="C89" s="23" t="s">
        <v>18</v>
      </c>
      <c r="D89" s="23" t="s">
        <v>16</v>
      </c>
      <c r="E89" s="23" t="str">
        <v>Reza Jafari</v>
      </c>
      <c r="F89" s="23" t="s">
        <v>10</v>
      </c>
      <c r="G89" s="24">
        <v>37374.399999999994</v>
      </c>
      <c r="H89" s="23" t="s">
        <v>43</v>
      </c>
      <c r="I89" s="24">
        <v>15000</v>
      </c>
      <c r="J89" s="24">
        <f t="shared" si="1"/>
        <v>3737.4399999999996</v>
      </c>
      <c r="K89" s="25">
        <f>'Copy of All Sales'!$G89-'Copy of All Sales'!$I89</f>
        <v>22374.399999999994</v>
      </c>
    </row>
    <row r="90" spans="1:11" x14ac:dyDescent="0.25">
      <c r="A90" s="18">
        <v>44531</v>
      </c>
      <c r="B90" s="19" t="s">
        <v>13</v>
      </c>
      <c r="C90" s="19" t="s">
        <v>14</v>
      </c>
      <c r="D90" s="19" t="s">
        <v>12</v>
      </c>
      <c r="E90" s="19" t="str">
        <v>Derek Godwin</v>
      </c>
      <c r="F90" s="19" t="s">
        <v>10</v>
      </c>
      <c r="G90" s="20">
        <v>3817.9999999999995</v>
      </c>
      <c r="H90" s="19" t="s">
        <v>11</v>
      </c>
      <c r="I90" s="20">
        <v>15000</v>
      </c>
      <c r="J90" s="20">
        <f t="shared" si="1"/>
        <v>0</v>
      </c>
      <c r="K90" s="21">
        <f>'Copy of All Sales'!$G90-'Copy of All Sales'!$I90</f>
        <v>-11182</v>
      </c>
    </row>
    <row r="91" spans="1:11" x14ac:dyDescent="0.25">
      <c r="A91" s="22">
        <v>44531</v>
      </c>
      <c r="B91" s="23" t="s">
        <v>17</v>
      </c>
      <c r="C91" s="23" t="s">
        <v>18</v>
      </c>
      <c r="D91" s="23" t="s">
        <v>16</v>
      </c>
      <c r="E91" s="23" t="str">
        <v>Reza Jafari</v>
      </c>
      <c r="F91" s="23" t="s">
        <v>10</v>
      </c>
      <c r="G91" s="24">
        <v>8683.1999999999989</v>
      </c>
      <c r="H91" s="23" t="s">
        <v>15</v>
      </c>
      <c r="I91" s="24">
        <v>15000</v>
      </c>
      <c r="J91" s="24">
        <f t="shared" si="1"/>
        <v>0</v>
      </c>
      <c r="K91" s="25">
        <f>'Copy of All Sales'!$G91-'Copy of All Sales'!$I91</f>
        <v>-6316.8000000000011</v>
      </c>
    </row>
    <row r="92" spans="1:11" x14ac:dyDescent="0.25">
      <c r="A92" s="18">
        <v>44531</v>
      </c>
      <c r="B92" s="19" t="s">
        <v>8</v>
      </c>
      <c r="C92" s="19" t="s">
        <v>9</v>
      </c>
      <c r="D92" s="19" t="s">
        <v>7</v>
      </c>
      <c r="E92" s="19" t="str">
        <v>Ashley Almanza</v>
      </c>
      <c r="F92" s="19" t="s">
        <v>10</v>
      </c>
      <c r="G92" s="20">
        <v>11210</v>
      </c>
      <c r="H92" s="19" t="s">
        <v>43</v>
      </c>
      <c r="I92" s="20">
        <v>15000</v>
      </c>
      <c r="J92" s="20">
        <f t="shared" si="1"/>
        <v>0</v>
      </c>
      <c r="K92" s="21">
        <f>'Copy of All Sales'!$G92-'Copy of All Sales'!$I92</f>
        <v>-3790</v>
      </c>
    </row>
    <row r="93" spans="1:11" x14ac:dyDescent="0.25">
      <c r="A93" s="22">
        <v>44531</v>
      </c>
      <c r="B93" s="23" t="s">
        <v>28</v>
      </c>
      <c r="C93" s="23" t="s">
        <v>29</v>
      </c>
      <c r="D93" s="23" t="s">
        <v>27</v>
      </c>
      <c r="E93" s="23" t="str">
        <v>Gordon Beswick</v>
      </c>
      <c r="F93" s="23" t="s">
        <v>10</v>
      </c>
      <c r="G93" s="24">
        <v>12765.2</v>
      </c>
      <c r="H93" s="23" t="s">
        <v>43</v>
      </c>
      <c r="I93" s="24">
        <v>15000</v>
      </c>
      <c r="J93" s="24">
        <f t="shared" si="1"/>
        <v>0</v>
      </c>
      <c r="K93" s="25">
        <f>'Copy of All Sales'!$G93-'Copy of All Sales'!$I93</f>
        <v>-2234.7999999999993</v>
      </c>
    </row>
    <row r="94" spans="1:11" x14ac:dyDescent="0.25">
      <c r="A94" s="18">
        <v>44531</v>
      </c>
      <c r="B94" s="19" t="s">
        <v>13</v>
      </c>
      <c r="C94" s="19" t="s">
        <v>14</v>
      </c>
      <c r="D94" s="19" t="s">
        <v>12</v>
      </c>
      <c r="E94" s="19" t="str">
        <v>Derek Godwin</v>
      </c>
      <c r="F94" s="19" t="s">
        <v>10</v>
      </c>
      <c r="G94" s="20">
        <v>15921.999999999998</v>
      </c>
      <c r="H94" s="19" t="s">
        <v>43</v>
      </c>
      <c r="I94" s="20">
        <v>15000</v>
      </c>
      <c r="J94" s="20">
        <f t="shared" si="1"/>
        <v>1592.1999999999998</v>
      </c>
      <c r="K94" s="21">
        <f>'Copy of All Sales'!$G94-'Copy of All Sales'!$I94</f>
        <v>921.99999999999818</v>
      </c>
    </row>
    <row r="95" spans="1:11" x14ac:dyDescent="0.25">
      <c r="A95" s="22">
        <v>44531</v>
      </c>
      <c r="B95" s="23" t="s">
        <v>28</v>
      </c>
      <c r="C95" s="23" t="s">
        <v>29</v>
      </c>
      <c r="D95" s="23" t="s">
        <v>27</v>
      </c>
      <c r="E95" s="23" t="str">
        <v>Gordon Beswick</v>
      </c>
      <c r="F95" s="23" t="s">
        <v>10</v>
      </c>
      <c r="G95" s="24">
        <v>31970.799999999999</v>
      </c>
      <c r="H95" s="23" t="s">
        <v>11</v>
      </c>
      <c r="I95" s="24">
        <v>15000</v>
      </c>
      <c r="J95" s="24">
        <f t="shared" si="1"/>
        <v>3197.08</v>
      </c>
      <c r="K95" s="25">
        <f>'Copy of All Sales'!$G95-'Copy of All Sales'!$I95</f>
        <v>16970.8</v>
      </c>
    </row>
    <row r="96" spans="1:11" x14ac:dyDescent="0.25">
      <c r="A96" s="18">
        <v>44531</v>
      </c>
      <c r="B96" s="19" t="s">
        <v>8</v>
      </c>
      <c r="C96" s="19" t="s">
        <v>9</v>
      </c>
      <c r="D96" s="19" t="s">
        <v>7</v>
      </c>
      <c r="E96" s="19" t="str">
        <v>Ashley Almanza</v>
      </c>
      <c r="F96" s="19" t="s">
        <v>10</v>
      </c>
      <c r="G96" s="20">
        <v>41520</v>
      </c>
      <c r="H96" s="19" t="s">
        <v>11</v>
      </c>
      <c r="I96" s="20">
        <v>15000</v>
      </c>
      <c r="J96" s="20">
        <f t="shared" si="1"/>
        <v>4152</v>
      </c>
      <c r="K96" s="21">
        <f>'Copy of All Sales'!$G96-'Copy of All Sales'!$I96</f>
        <v>26520</v>
      </c>
    </row>
    <row r="97" spans="1:11" x14ac:dyDescent="0.25">
      <c r="A97" s="22">
        <v>44531</v>
      </c>
      <c r="B97" s="23" t="s">
        <v>8</v>
      </c>
      <c r="C97" s="23" t="s">
        <v>9</v>
      </c>
      <c r="D97" s="23" t="s">
        <v>7</v>
      </c>
      <c r="E97" s="23" t="str">
        <v>Ashley Almanza</v>
      </c>
      <c r="F97" s="23" t="s">
        <v>10</v>
      </c>
      <c r="G97" s="24">
        <v>45800.999999999993</v>
      </c>
      <c r="H97" s="23" t="s">
        <v>15</v>
      </c>
      <c r="I97" s="24">
        <v>15000</v>
      </c>
      <c r="J97" s="24">
        <f t="shared" si="1"/>
        <v>4580.0999999999995</v>
      </c>
      <c r="K97" s="25">
        <f>'Copy of All Sales'!$G97-'Copy of All Sales'!$I97</f>
        <v>30800.999999999993</v>
      </c>
    </row>
    <row r="98" spans="1:11" x14ac:dyDescent="0.25">
      <c r="A98" s="18">
        <v>44197</v>
      </c>
      <c r="B98" s="19" t="s">
        <v>31</v>
      </c>
      <c r="C98" s="19" t="s">
        <v>32</v>
      </c>
      <c r="D98" s="19" t="s">
        <v>30</v>
      </c>
      <c r="E98" s="19" t="str">
        <v>Chloe Fusaro</v>
      </c>
      <c r="F98" s="19" t="s">
        <v>33</v>
      </c>
      <c r="G98" s="20">
        <v>13310.4</v>
      </c>
      <c r="H98" s="19" t="s">
        <v>11</v>
      </c>
      <c r="I98" s="20">
        <v>15000</v>
      </c>
      <c r="J98" s="20">
        <f t="shared" si="1"/>
        <v>0</v>
      </c>
      <c r="K98" s="21">
        <f>'Copy of All Sales'!$G98-'Copy of All Sales'!$I98</f>
        <v>-1689.6000000000004</v>
      </c>
    </row>
    <row r="99" spans="1:11" x14ac:dyDescent="0.25">
      <c r="A99" s="22">
        <v>44197</v>
      </c>
      <c r="B99" s="23" t="s">
        <v>60</v>
      </c>
      <c r="C99" s="23" t="s">
        <v>61</v>
      </c>
      <c r="D99" s="23" t="s">
        <v>59</v>
      </c>
      <c r="E99" s="23" t="str">
        <v>David Wilkinson</v>
      </c>
      <c r="F99" s="23" t="s">
        <v>33</v>
      </c>
      <c r="G99" s="24">
        <v>20366.100000000002</v>
      </c>
      <c r="H99" s="23" t="s">
        <v>43</v>
      </c>
      <c r="I99" s="24">
        <v>15000</v>
      </c>
      <c r="J99" s="24">
        <f t="shared" si="1"/>
        <v>2036.6100000000004</v>
      </c>
      <c r="K99" s="25">
        <f>'Copy of All Sales'!$G99-'Copy of All Sales'!$I99</f>
        <v>5366.1000000000022</v>
      </c>
    </row>
    <row r="100" spans="1:11" x14ac:dyDescent="0.25">
      <c r="A100" s="18">
        <v>44197</v>
      </c>
      <c r="B100" s="19" t="s">
        <v>60</v>
      </c>
      <c r="C100" s="19" t="s">
        <v>61</v>
      </c>
      <c r="D100" s="19" t="s">
        <v>59</v>
      </c>
      <c r="E100" s="19" t="str">
        <v>David Wilkinson</v>
      </c>
      <c r="F100" s="19" t="s">
        <v>33</v>
      </c>
      <c r="G100" s="20">
        <v>20880</v>
      </c>
      <c r="H100" s="19" t="s">
        <v>11</v>
      </c>
      <c r="I100" s="20">
        <v>15000</v>
      </c>
      <c r="J100" s="20">
        <f t="shared" si="1"/>
        <v>2088</v>
      </c>
      <c r="K100" s="21">
        <f>'Copy of All Sales'!$G100-'Copy of All Sales'!$I100</f>
        <v>5880</v>
      </c>
    </row>
    <row r="101" spans="1:11" x14ac:dyDescent="0.25">
      <c r="A101" s="22">
        <v>44197</v>
      </c>
      <c r="B101" s="23" t="s">
        <v>31</v>
      </c>
      <c r="C101" s="23" t="s">
        <v>32</v>
      </c>
      <c r="D101" s="23" t="s">
        <v>30</v>
      </c>
      <c r="E101" s="23" t="str">
        <v>Chloe Fusaro</v>
      </c>
      <c r="F101" s="23" t="s">
        <v>33</v>
      </c>
      <c r="G101" s="24">
        <v>23076.199999999997</v>
      </c>
      <c r="H101" s="23" t="s">
        <v>11</v>
      </c>
      <c r="I101" s="24">
        <v>15000</v>
      </c>
      <c r="J101" s="24">
        <f t="shared" si="1"/>
        <v>2307.62</v>
      </c>
      <c r="K101" s="25">
        <f>'Copy of All Sales'!$G101-'Copy of All Sales'!$I101</f>
        <v>8076.1999999999971</v>
      </c>
    </row>
    <row r="102" spans="1:11" x14ac:dyDescent="0.25">
      <c r="A102" s="18">
        <v>44197</v>
      </c>
      <c r="B102" s="19" t="s">
        <v>31</v>
      </c>
      <c r="C102" s="19" t="s">
        <v>32</v>
      </c>
      <c r="D102" s="19" t="s">
        <v>30</v>
      </c>
      <c r="E102" s="19" t="str">
        <v>Chloe Fusaro</v>
      </c>
      <c r="F102" s="19" t="s">
        <v>33</v>
      </c>
      <c r="G102" s="20">
        <v>25560</v>
      </c>
      <c r="H102" s="19" t="s">
        <v>11</v>
      </c>
      <c r="I102" s="20">
        <v>15000</v>
      </c>
      <c r="J102" s="20">
        <f t="shared" si="1"/>
        <v>2556</v>
      </c>
      <c r="K102" s="21">
        <f>'Copy of All Sales'!$G102-'Copy of All Sales'!$I102</f>
        <v>10560</v>
      </c>
    </row>
    <row r="103" spans="1:11" x14ac:dyDescent="0.25">
      <c r="A103" s="22">
        <v>44228</v>
      </c>
      <c r="B103" s="23" t="s">
        <v>60</v>
      </c>
      <c r="C103" s="23" t="s">
        <v>61</v>
      </c>
      <c r="D103" s="23" t="s">
        <v>59</v>
      </c>
      <c r="E103" s="23" t="str">
        <v>David Wilkinson</v>
      </c>
      <c r="F103" s="23" t="s">
        <v>33</v>
      </c>
      <c r="G103" s="24">
        <v>13479.400000000001</v>
      </c>
      <c r="H103" s="23" t="s">
        <v>43</v>
      </c>
      <c r="I103" s="24">
        <v>15000</v>
      </c>
      <c r="J103" s="24">
        <f t="shared" si="1"/>
        <v>0</v>
      </c>
      <c r="K103" s="25">
        <f>'Copy of All Sales'!$G103-'Copy of All Sales'!$I103</f>
        <v>-1520.5999999999985</v>
      </c>
    </row>
    <row r="104" spans="1:11" x14ac:dyDescent="0.25">
      <c r="A104" s="18">
        <v>44228</v>
      </c>
      <c r="B104" s="19" t="s">
        <v>31</v>
      </c>
      <c r="C104" s="19" t="s">
        <v>32</v>
      </c>
      <c r="D104" s="19" t="s">
        <v>30</v>
      </c>
      <c r="E104" s="19" t="str">
        <v>Chloe Fusaro</v>
      </c>
      <c r="F104" s="19" t="s">
        <v>33</v>
      </c>
      <c r="G104" s="20">
        <v>16604.400000000001</v>
      </c>
      <c r="H104" s="19" t="s">
        <v>15</v>
      </c>
      <c r="I104" s="20">
        <v>15000</v>
      </c>
      <c r="J104" s="20">
        <f t="shared" si="1"/>
        <v>1660.4400000000003</v>
      </c>
      <c r="K104" s="21">
        <f>'Copy of All Sales'!$G104-'Copy of All Sales'!$I104</f>
        <v>1604.4000000000015</v>
      </c>
    </row>
    <row r="105" spans="1:11" x14ac:dyDescent="0.25">
      <c r="A105" s="22">
        <v>44228</v>
      </c>
      <c r="B105" s="23" t="s">
        <v>72</v>
      </c>
      <c r="C105" s="23" t="s">
        <v>73</v>
      </c>
      <c r="D105" s="23" t="s">
        <v>71</v>
      </c>
      <c r="E105" s="23" t="str">
        <v>Sarah Gibbs</v>
      </c>
      <c r="F105" s="23" t="s">
        <v>33</v>
      </c>
      <c r="G105" s="24">
        <v>22176</v>
      </c>
      <c r="H105" s="23" t="s">
        <v>15</v>
      </c>
      <c r="I105" s="24">
        <v>15000</v>
      </c>
      <c r="J105" s="24">
        <f t="shared" si="1"/>
        <v>2217.6</v>
      </c>
      <c r="K105" s="25">
        <f>'Copy of All Sales'!$G105-'Copy of All Sales'!$I105</f>
        <v>7176</v>
      </c>
    </row>
    <row r="106" spans="1:11" x14ac:dyDescent="0.25">
      <c r="A106" s="18">
        <v>44228</v>
      </c>
      <c r="B106" s="19" t="s">
        <v>60</v>
      </c>
      <c r="C106" s="19" t="s">
        <v>61</v>
      </c>
      <c r="D106" s="19" t="s">
        <v>59</v>
      </c>
      <c r="E106" s="19" t="str">
        <v>David Wilkinson</v>
      </c>
      <c r="F106" s="19" t="s">
        <v>33</v>
      </c>
      <c r="G106" s="20">
        <v>24131.000000000004</v>
      </c>
      <c r="H106" s="19" t="s">
        <v>15</v>
      </c>
      <c r="I106" s="20">
        <v>15000</v>
      </c>
      <c r="J106" s="20">
        <f t="shared" si="1"/>
        <v>2413.1000000000004</v>
      </c>
      <c r="K106" s="21">
        <f>'Copy of All Sales'!$G106-'Copy of All Sales'!$I106</f>
        <v>9131.0000000000036</v>
      </c>
    </row>
    <row r="107" spans="1:11" x14ac:dyDescent="0.25">
      <c r="A107" s="22">
        <v>44228</v>
      </c>
      <c r="B107" s="23" t="s">
        <v>31</v>
      </c>
      <c r="C107" s="23" t="s">
        <v>32</v>
      </c>
      <c r="D107" s="23" t="s">
        <v>30</v>
      </c>
      <c r="E107" s="23" t="str">
        <v>Chloe Fusaro</v>
      </c>
      <c r="F107" s="23" t="s">
        <v>33</v>
      </c>
      <c r="G107" s="24">
        <v>34353.5</v>
      </c>
      <c r="H107" s="23" t="s">
        <v>15</v>
      </c>
      <c r="I107" s="24">
        <v>15000</v>
      </c>
      <c r="J107" s="24">
        <f t="shared" si="1"/>
        <v>3435.3500000000004</v>
      </c>
      <c r="K107" s="25">
        <f>'Copy of All Sales'!$G107-'Copy of All Sales'!$I107</f>
        <v>19353.5</v>
      </c>
    </row>
    <row r="108" spans="1:11" x14ac:dyDescent="0.25">
      <c r="A108" s="18">
        <v>44256</v>
      </c>
      <c r="B108" s="19" t="s">
        <v>63</v>
      </c>
      <c r="C108" s="19" t="s">
        <v>64</v>
      </c>
      <c r="D108" s="19" t="s">
        <v>62</v>
      </c>
      <c r="E108" s="19" t="str">
        <v>Charlotte Edwards</v>
      </c>
      <c r="F108" s="19" t="s">
        <v>33</v>
      </c>
      <c r="G108" s="20">
        <v>7416.9</v>
      </c>
      <c r="H108" s="19" t="s">
        <v>43</v>
      </c>
      <c r="I108" s="20">
        <v>15000</v>
      </c>
      <c r="J108" s="20">
        <f t="shared" si="1"/>
        <v>0</v>
      </c>
      <c r="K108" s="21">
        <f>'Copy of All Sales'!$G108-'Copy of All Sales'!$I108</f>
        <v>-7583.1</v>
      </c>
    </row>
    <row r="109" spans="1:11" x14ac:dyDescent="0.25">
      <c r="A109" s="22">
        <v>44256</v>
      </c>
      <c r="B109" s="23" t="s">
        <v>41</v>
      </c>
      <c r="C109" s="23" t="s">
        <v>42</v>
      </c>
      <c r="D109" s="23" t="s">
        <v>40</v>
      </c>
      <c r="E109" s="23" t="str">
        <v>Jonah Seitz</v>
      </c>
      <c r="F109" s="23" t="s">
        <v>33</v>
      </c>
      <c r="G109" s="24">
        <v>8284.5</v>
      </c>
      <c r="H109" s="23" t="s">
        <v>15</v>
      </c>
      <c r="I109" s="24">
        <v>15000</v>
      </c>
      <c r="J109" s="24">
        <f t="shared" si="1"/>
        <v>0</v>
      </c>
      <c r="K109" s="25">
        <f>'Copy of All Sales'!$G109-'Copy of All Sales'!$I109</f>
        <v>-6715.5</v>
      </c>
    </row>
    <row r="110" spans="1:11" x14ac:dyDescent="0.25">
      <c r="A110" s="18">
        <v>44256</v>
      </c>
      <c r="B110" s="19" t="s">
        <v>31</v>
      </c>
      <c r="C110" s="19" t="s">
        <v>32</v>
      </c>
      <c r="D110" s="19" t="s">
        <v>30</v>
      </c>
      <c r="E110" s="19" t="str">
        <v>Chloe Fusaro</v>
      </c>
      <c r="F110" s="19" t="s">
        <v>33</v>
      </c>
      <c r="G110" s="20">
        <v>10758.7</v>
      </c>
      <c r="H110" s="19" t="s">
        <v>15</v>
      </c>
      <c r="I110" s="20">
        <v>15000</v>
      </c>
      <c r="J110" s="20">
        <f t="shared" si="1"/>
        <v>0</v>
      </c>
      <c r="K110" s="21">
        <f>'Copy of All Sales'!$G110-'Copy of All Sales'!$I110</f>
        <v>-4241.2999999999993</v>
      </c>
    </row>
    <row r="111" spans="1:11" x14ac:dyDescent="0.25">
      <c r="A111" s="22">
        <v>44256</v>
      </c>
      <c r="B111" s="23" t="s">
        <v>60</v>
      </c>
      <c r="C111" s="23" t="s">
        <v>61</v>
      </c>
      <c r="D111" s="23" t="s">
        <v>59</v>
      </c>
      <c r="E111" s="23" t="str">
        <v>David Wilkinson</v>
      </c>
      <c r="F111" s="23" t="s">
        <v>33</v>
      </c>
      <c r="G111" s="24">
        <v>12124.2</v>
      </c>
      <c r="H111" s="23" t="s">
        <v>43</v>
      </c>
      <c r="I111" s="24">
        <v>15000</v>
      </c>
      <c r="J111" s="24">
        <f t="shared" si="1"/>
        <v>0</v>
      </c>
      <c r="K111" s="25">
        <f>'Copy of All Sales'!$G111-'Copy of All Sales'!$I111</f>
        <v>-2875.7999999999993</v>
      </c>
    </row>
    <row r="112" spans="1:11" x14ac:dyDescent="0.25">
      <c r="A112" s="18">
        <v>44256</v>
      </c>
      <c r="B112" s="19" t="s">
        <v>63</v>
      </c>
      <c r="C112" s="19" t="s">
        <v>64</v>
      </c>
      <c r="D112" s="19" t="s">
        <v>62</v>
      </c>
      <c r="E112" s="19" t="str">
        <v>Charlotte Edwards</v>
      </c>
      <c r="F112" s="19" t="s">
        <v>33</v>
      </c>
      <c r="G112" s="20">
        <v>14391.999999999998</v>
      </c>
      <c r="H112" s="19" t="s">
        <v>11</v>
      </c>
      <c r="I112" s="20">
        <v>15000</v>
      </c>
      <c r="J112" s="20">
        <f t="shared" si="1"/>
        <v>0</v>
      </c>
      <c r="K112" s="21">
        <f>'Copy of All Sales'!$G112-'Copy of All Sales'!$I112</f>
        <v>-608.00000000000182</v>
      </c>
    </row>
    <row r="113" spans="1:11" x14ac:dyDescent="0.25">
      <c r="A113" s="22">
        <v>44256</v>
      </c>
      <c r="B113" s="23" t="s">
        <v>41</v>
      </c>
      <c r="C113" s="23" t="s">
        <v>42</v>
      </c>
      <c r="D113" s="23" t="s">
        <v>40</v>
      </c>
      <c r="E113" s="23" t="str">
        <v>Jonah Seitz</v>
      </c>
      <c r="F113" s="23" t="s">
        <v>33</v>
      </c>
      <c r="G113" s="24">
        <v>15246</v>
      </c>
      <c r="H113" s="23" t="s">
        <v>11</v>
      </c>
      <c r="I113" s="24">
        <v>15000</v>
      </c>
      <c r="J113" s="24">
        <f t="shared" si="1"/>
        <v>1524.6000000000001</v>
      </c>
      <c r="K113" s="25">
        <f>'Copy of All Sales'!$G113-'Copy of All Sales'!$I113</f>
        <v>246</v>
      </c>
    </row>
    <row r="114" spans="1:11" x14ac:dyDescent="0.25">
      <c r="A114" s="18">
        <v>44256</v>
      </c>
      <c r="B114" s="19" t="s">
        <v>63</v>
      </c>
      <c r="C114" s="19" t="s">
        <v>64</v>
      </c>
      <c r="D114" s="19" t="s">
        <v>62</v>
      </c>
      <c r="E114" s="19" t="str">
        <v>Charlotte Edwards</v>
      </c>
      <c r="F114" s="19" t="s">
        <v>33</v>
      </c>
      <c r="G114" s="20">
        <v>17335.2</v>
      </c>
      <c r="H114" s="19" t="s">
        <v>43</v>
      </c>
      <c r="I114" s="20">
        <v>15000</v>
      </c>
      <c r="J114" s="20">
        <f t="shared" si="1"/>
        <v>1733.5200000000002</v>
      </c>
      <c r="K114" s="21">
        <f>'Copy of All Sales'!$G114-'Copy of All Sales'!$I114</f>
        <v>2335.2000000000007</v>
      </c>
    </row>
    <row r="115" spans="1:11" x14ac:dyDescent="0.25">
      <c r="A115" s="22">
        <v>44256</v>
      </c>
      <c r="B115" s="23" t="s">
        <v>41</v>
      </c>
      <c r="C115" s="23" t="s">
        <v>42</v>
      </c>
      <c r="D115" s="23" t="s">
        <v>40</v>
      </c>
      <c r="E115" s="23" t="str">
        <v>Jonah Seitz</v>
      </c>
      <c r="F115" s="23" t="s">
        <v>33</v>
      </c>
      <c r="G115" s="24">
        <v>40831</v>
      </c>
      <c r="H115" s="23" t="s">
        <v>11</v>
      </c>
      <c r="I115" s="24">
        <v>15000</v>
      </c>
      <c r="J115" s="24">
        <f t="shared" si="1"/>
        <v>4083.1000000000004</v>
      </c>
      <c r="K115" s="25">
        <f>'Copy of All Sales'!$G115-'Copy of All Sales'!$I115</f>
        <v>25831</v>
      </c>
    </row>
    <row r="116" spans="1:11" x14ac:dyDescent="0.25">
      <c r="A116" s="18">
        <v>44287</v>
      </c>
      <c r="B116" s="19" t="s">
        <v>31</v>
      </c>
      <c r="C116" s="19" t="s">
        <v>32</v>
      </c>
      <c r="D116" s="19" t="s">
        <v>30</v>
      </c>
      <c r="E116" s="19" t="str">
        <v>Chloe Fusaro</v>
      </c>
      <c r="F116" s="19" t="s">
        <v>33</v>
      </c>
      <c r="G116" s="20">
        <v>8520</v>
      </c>
      <c r="H116" s="19" t="s">
        <v>43</v>
      </c>
      <c r="I116" s="20">
        <v>15000</v>
      </c>
      <c r="J116" s="20">
        <f t="shared" si="1"/>
        <v>0</v>
      </c>
      <c r="K116" s="21">
        <f>'Copy of All Sales'!$G116-'Copy of All Sales'!$I116</f>
        <v>-6480</v>
      </c>
    </row>
    <row r="117" spans="1:11" x14ac:dyDescent="0.25">
      <c r="A117" s="22">
        <v>44287</v>
      </c>
      <c r="B117" s="23" t="s">
        <v>63</v>
      </c>
      <c r="C117" s="23" t="s">
        <v>64</v>
      </c>
      <c r="D117" s="23" t="s">
        <v>62</v>
      </c>
      <c r="E117" s="23" t="str">
        <v>Charlotte Edwards</v>
      </c>
      <c r="F117" s="23" t="s">
        <v>33</v>
      </c>
      <c r="G117" s="24">
        <v>14301.599999999999</v>
      </c>
      <c r="H117" s="23" t="s">
        <v>43</v>
      </c>
      <c r="I117" s="24">
        <v>15000</v>
      </c>
      <c r="J117" s="24">
        <f t="shared" si="1"/>
        <v>0</v>
      </c>
      <c r="K117" s="25">
        <f>'Copy of All Sales'!$G117-'Copy of All Sales'!$I117</f>
        <v>-698.40000000000146</v>
      </c>
    </row>
    <row r="118" spans="1:11" x14ac:dyDescent="0.25">
      <c r="A118" s="18">
        <v>44287</v>
      </c>
      <c r="B118" s="19" t="s">
        <v>63</v>
      </c>
      <c r="C118" s="19" t="s">
        <v>64</v>
      </c>
      <c r="D118" s="19" t="s">
        <v>62</v>
      </c>
      <c r="E118" s="19" t="str">
        <v>Charlotte Edwards</v>
      </c>
      <c r="F118" s="19" t="s">
        <v>33</v>
      </c>
      <c r="G118" s="20">
        <v>17204.399999999998</v>
      </c>
      <c r="H118" s="19" t="s">
        <v>11</v>
      </c>
      <c r="I118" s="20">
        <v>15000</v>
      </c>
      <c r="J118" s="20">
        <f t="shared" si="1"/>
        <v>1720.4399999999998</v>
      </c>
      <c r="K118" s="21">
        <f>'Copy of All Sales'!$G118-'Copy of All Sales'!$I118</f>
        <v>2204.3999999999978</v>
      </c>
    </row>
    <row r="119" spans="1:11" x14ac:dyDescent="0.25">
      <c r="A119" s="22">
        <v>44287</v>
      </c>
      <c r="B119" s="23" t="s">
        <v>41</v>
      </c>
      <c r="C119" s="23" t="s">
        <v>42</v>
      </c>
      <c r="D119" s="23" t="s">
        <v>40</v>
      </c>
      <c r="E119" s="23" t="str">
        <v>Jonah Seitz</v>
      </c>
      <c r="F119" s="23" t="s">
        <v>33</v>
      </c>
      <c r="G119" s="24">
        <v>19080</v>
      </c>
      <c r="H119" s="23" t="s">
        <v>15</v>
      </c>
      <c r="I119" s="24">
        <v>15000</v>
      </c>
      <c r="J119" s="24">
        <f t="shared" si="1"/>
        <v>1908</v>
      </c>
      <c r="K119" s="25">
        <f>'Copy of All Sales'!$G119-'Copy of All Sales'!$I119</f>
        <v>4080</v>
      </c>
    </row>
    <row r="120" spans="1:11" x14ac:dyDescent="0.25">
      <c r="A120" s="18">
        <v>44287</v>
      </c>
      <c r="B120" s="19" t="s">
        <v>31</v>
      </c>
      <c r="C120" s="19" t="s">
        <v>32</v>
      </c>
      <c r="D120" s="19" t="s">
        <v>30</v>
      </c>
      <c r="E120" s="19" t="str">
        <v>Chloe Fusaro</v>
      </c>
      <c r="F120" s="19" t="s">
        <v>33</v>
      </c>
      <c r="G120" s="20">
        <v>19210.400000000001</v>
      </c>
      <c r="H120" s="19" t="s">
        <v>11</v>
      </c>
      <c r="I120" s="20">
        <v>15000</v>
      </c>
      <c r="J120" s="20">
        <f t="shared" si="1"/>
        <v>1921.0400000000002</v>
      </c>
      <c r="K120" s="21">
        <f>'Copy of All Sales'!$G120-'Copy of All Sales'!$I120</f>
        <v>4210.4000000000015</v>
      </c>
    </row>
    <row r="121" spans="1:11" x14ac:dyDescent="0.25">
      <c r="A121" s="22">
        <v>44287</v>
      </c>
      <c r="B121" s="23" t="s">
        <v>31</v>
      </c>
      <c r="C121" s="23" t="s">
        <v>32</v>
      </c>
      <c r="D121" s="23" t="s">
        <v>30</v>
      </c>
      <c r="E121" s="23" t="str">
        <v>Chloe Fusaro</v>
      </c>
      <c r="F121" s="23" t="s">
        <v>33</v>
      </c>
      <c r="G121" s="24">
        <v>32282.799999999996</v>
      </c>
      <c r="H121" s="23" t="s">
        <v>15</v>
      </c>
      <c r="I121" s="24">
        <v>15000</v>
      </c>
      <c r="J121" s="24">
        <f t="shared" si="1"/>
        <v>3228.2799999999997</v>
      </c>
      <c r="K121" s="25">
        <f>'Copy of All Sales'!$G121-'Copy of All Sales'!$I121</f>
        <v>17282.799999999996</v>
      </c>
    </row>
    <row r="122" spans="1:11" x14ac:dyDescent="0.25">
      <c r="A122" s="18">
        <v>44287</v>
      </c>
      <c r="B122" s="19" t="s">
        <v>72</v>
      </c>
      <c r="C122" s="19" t="s">
        <v>73</v>
      </c>
      <c r="D122" s="19" t="s">
        <v>71</v>
      </c>
      <c r="E122" s="19" t="str">
        <v>Sarah Gibbs</v>
      </c>
      <c r="F122" s="19" t="s">
        <v>33</v>
      </c>
      <c r="G122" s="20">
        <v>32524.1</v>
      </c>
      <c r="H122" s="19" t="s">
        <v>11</v>
      </c>
      <c r="I122" s="20">
        <v>15000</v>
      </c>
      <c r="J122" s="20">
        <f t="shared" si="1"/>
        <v>3252.41</v>
      </c>
      <c r="K122" s="21">
        <f>'Copy of All Sales'!$G122-'Copy of All Sales'!$I122</f>
        <v>17524.099999999999</v>
      </c>
    </row>
    <row r="123" spans="1:11" x14ac:dyDescent="0.25">
      <c r="A123" s="22">
        <v>44287</v>
      </c>
      <c r="B123" s="23" t="s">
        <v>31</v>
      </c>
      <c r="C123" s="23" t="s">
        <v>32</v>
      </c>
      <c r="D123" s="23" t="s">
        <v>30</v>
      </c>
      <c r="E123" s="23" t="str">
        <v>Chloe Fusaro</v>
      </c>
      <c r="F123" s="23" t="s">
        <v>33</v>
      </c>
      <c r="G123" s="24">
        <v>35153.799999999996</v>
      </c>
      <c r="H123" s="23" t="s">
        <v>11</v>
      </c>
      <c r="I123" s="24">
        <v>15000</v>
      </c>
      <c r="J123" s="24">
        <f t="shared" si="1"/>
        <v>3515.3799999999997</v>
      </c>
      <c r="K123" s="25">
        <f>'Copy of All Sales'!$G123-'Copy of All Sales'!$I123</f>
        <v>20153.799999999996</v>
      </c>
    </row>
    <row r="124" spans="1:11" x14ac:dyDescent="0.25">
      <c r="A124" s="18">
        <v>44287</v>
      </c>
      <c r="B124" s="19" t="s">
        <v>31</v>
      </c>
      <c r="C124" s="19" t="s">
        <v>32</v>
      </c>
      <c r="D124" s="19" t="s">
        <v>30</v>
      </c>
      <c r="E124" s="19" t="str">
        <v>Chloe Fusaro</v>
      </c>
      <c r="F124" s="19" t="s">
        <v>33</v>
      </c>
      <c r="G124" s="20">
        <v>35820</v>
      </c>
      <c r="H124" s="19" t="s">
        <v>43</v>
      </c>
      <c r="I124" s="20">
        <v>15000</v>
      </c>
      <c r="J124" s="20">
        <f t="shared" si="1"/>
        <v>3582</v>
      </c>
      <c r="K124" s="21">
        <f>'Copy of All Sales'!$G124-'Copy of All Sales'!$I124</f>
        <v>20820</v>
      </c>
    </row>
    <row r="125" spans="1:11" x14ac:dyDescent="0.25">
      <c r="A125" s="22">
        <v>44287</v>
      </c>
      <c r="B125" s="23" t="s">
        <v>60</v>
      </c>
      <c r="C125" s="23" t="s">
        <v>61</v>
      </c>
      <c r="D125" s="23" t="s">
        <v>59</v>
      </c>
      <c r="E125" s="23" t="str">
        <v>David Wilkinson</v>
      </c>
      <c r="F125" s="23" t="s">
        <v>33</v>
      </c>
      <c r="G125" s="24">
        <v>42690.400000000001</v>
      </c>
      <c r="H125" s="23" t="s">
        <v>43</v>
      </c>
      <c r="I125" s="24">
        <v>15000</v>
      </c>
      <c r="J125" s="24">
        <f t="shared" si="1"/>
        <v>4269.04</v>
      </c>
      <c r="K125" s="25">
        <f>'Copy of All Sales'!$G125-'Copy of All Sales'!$I125</f>
        <v>27690.400000000001</v>
      </c>
    </row>
    <row r="126" spans="1:11" x14ac:dyDescent="0.25">
      <c r="A126" s="18">
        <v>44317</v>
      </c>
      <c r="B126" s="19" t="s">
        <v>60</v>
      </c>
      <c r="C126" s="19" t="s">
        <v>61</v>
      </c>
      <c r="D126" s="19" t="s">
        <v>59</v>
      </c>
      <c r="E126" s="19" t="str">
        <v>David Wilkinson</v>
      </c>
      <c r="F126" s="19" t="s">
        <v>33</v>
      </c>
      <c r="G126" s="20">
        <v>9270.1</v>
      </c>
      <c r="H126" s="19" t="s">
        <v>11</v>
      </c>
      <c r="I126" s="20">
        <v>15000</v>
      </c>
      <c r="J126" s="20">
        <f t="shared" si="1"/>
        <v>0</v>
      </c>
      <c r="K126" s="21">
        <f>'Copy of All Sales'!$G126-'Copy of All Sales'!$I126</f>
        <v>-5729.9</v>
      </c>
    </row>
    <row r="127" spans="1:11" x14ac:dyDescent="0.25">
      <c r="A127" s="22">
        <v>44317</v>
      </c>
      <c r="B127" s="23" t="s">
        <v>60</v>
      </c>
      <c r="C127" s="23" t="s">
        <v>61</v>
      </c>
      <c r="D127" s="23" t="s">
        <v>59</v>
      </c>
      <c r="E127" s="23" t="str">
        <v>David Wilkinson</v>
      </c>
      <c r="F127" s="23" t="s">
        <v>33</v>
      </c>
      <c r="G127" s="24">
        <v>11235</v>
      </c>
      <c r="H127" s="23" t="s">
        <v>43</v>
      </c>
      <c r="I127" s="24">
        <v>15000</v>
      </c>
      <c r="J127" s="24">
        <f t="shared" si="1"/>
        <v>0</v>
      </c>
      <c r="K127" s="25">
        <f>'Copy of All Sales'!$G127-'Copy of All Sales'!$I127</f>
        <v>-3765</v>
      </c>
    </row>
    <row r="128" spans="1:11" x14ac:dyDescent="0.25">
      <c r="A128" s="18">
        <v>44317</v>
      </c>
      <c r="B128" s="19" t="s">
        <v>72</v>
      </c>
      <c r="C128" s="19" t="s">
        <v>73</v>
      </c>
      <c r="D128" s="19" t="s">
        <v>71</v>
      </c>
      <c r="E128" s="19" t="str">
        <v>Sarah Gibbs</v>
      </c>
      <c r="F128" s="19" t="s">
        <v>33</v>
      </c>
      <c r="G128" s="20">
        <v>12019.799999999997</v>
      </c>
      <c r="H128" s="19" t="s">
        <v>11</v>
      </c>
      <c r="I128" s="20">
        <v>15000</v>
      </c>
      <c r="J128" s="20">
        <f t="shared" si="1"/>
        <v>0</v>
      </c>
      <c r="K128" s="21">
        <f>'Copy of All Sales'!$G128-'Copy of All Sales'!$I128</f>
        <v>-2980.2000000000025</v>
      </c>
    </row>
    <row r="129" spans="1:11" x14ac:dyDescent="0.25">
      <c r="A129" s="22">
        <v>44317</v>
      </c>
      <c r="B129" s="23" t="s">
        <v>31</v>
      </c>
      <c r="C129" s="23" t="s">
        <v>32</v>
      </c>
      <c r="D129" s="23" t="s">
        <v>30</v>
      </c>
      <c r="E129" s="23" t="str">
        <v>Chloe Fusaro</v>
      </c>
      <c r="F129" s="23" t="s">
        <v>33</v>
      </c>
      <c r="G129" s="24">
        <v>27930</v>
      </c>
      <c r="H129" s="23" t="s">
        <v>15</v>
      </c>
      <c r="I129" s="24">
        <v>15000</v>
      </c>
      <c r="J129" s="24">
        <f t="shared" si="1"/>
        <v>2793</v>
      </c>
      <c r="K129" s="25">
        <f>'Copy of All Sales'!$G129-'Copy of All Sales'!$I129</f>
        <v>12930</v>
      </c>
    </row>
    <row r="130" spans="1:11" x14ac:dyDescent="0.25">
      <c r="A130" s="18">
        <v>44348</v>
      </c>
      <c r="B130" s="19" t="s">
        <v>41</v>
      </c>
      <c r="C130" s="19" t="s">
        <v>42</v>
      </c>
      <c r="D130" s="19" t="s">
        <v>40</v>
      </c>
      <c r="E130" s="19" t="str">
        <v>Jonah Seitz</v>
      </c>
      <c r="F130" s="19" t="s">
        <v>33</v>
      </c>
      <c r="G130" s="20">
        <v>7581.9999999999991</v>
      </c>
      <c r="H130" s="19" t="s">
        <v>11</v>
      </c>
      <c r="I130" s="20">
        <v>15000</v>
      </c>
      <c r="J130" s="20">
        <f t="shared" ref="J130:J193" si="2">IF(G130&gt;=I130,G130*$M$2,0)</f>
        <v>0</v>
      </c>
      <c r="K130" s="21">
        <f>'Copy of All Sales'!$G130-'Copy of All Sales'!$I130</f>
        <v>-7418.0000000000009</v>
      </c>
    </row>
    <row r="131" spans="1:11" x14ac:dyDescent="0.25">
      <c r="A131" s="22">
        <v>44348</v>
      </c>
      <c r="B131" s="23" t="s">
        <v>31</v>
      </c>
      <c r="C131" s="23" t="s">
        <v>32</v>
      </c>
      <c r="D131" s="23" t="s">
        <v>30</v>
      </c>
      <c r="E131" s="23" t="str">
        <v>Chloe Fusaro</v>
      </c>
      <c r="F131" s="23" t="s">
        <v>33</v>
      </c>
      <c r="G131" s="24">
        <v>8721.6</v>
      </c>
      <c r="H131" s="23" t="s">
        <v>43</v>
      </c>
      <c r="I131" s="24">
        <v>15000</v>
      </c>
      <c r="J131" s="24">
        <f t="shared" si="2"/>
        <v>0</v>
      </c>
      <c r="K131" s="25">
        <f>'Copy of All Sales'!$G131-'Copy of All Sales'!$I131</f>
        <v>-6278.4</v>
      </c>
    </row>
    <row r="132" spans="1:11" x14ac:dyDescent="0.25">
      <c r="A132" s="18">
        <v>44348</v>
      </c>
      <c r="B132" s="19" t="s">
        <v>41</v>
      </c>
      <c r="C132" s="19" t="s">
        <v>42</v>
      </c>
      <c r="D132" s="19" t="s">
        <v>40</v>
      </c>
      <c r="E132" s="19" t="str">
        <v>Jonah Seitz</v>
      </c>
      <c r="F132" s="19" t="s">
        <v>33</v>
      </c>
      <c r="G132" s="20">
        <v>10500</v>
      </c>
      <c r="H132" s="19" t="s">
        <v>15</v>
      </c>
      <c r="I132" s="20">
        <v>15000</v>
      </c>
      <c r="J132" s="20">
        <f t="shared" si="2"/>
        <v>0</v>
      </c>
      <c r="K132" s="21">
        <f>'Copy of All Sales'!$G132-'Copy of All Sales'!$I132</f>
        <v>-4500</v>
      </c>
    </row>
    <row r="133" spans="1:11" x14ac:dyDescent="0.25">
      <c r="A133" s="22">
        <v>44348</v>
      </c>
      <c r="B133" s="23" t="s">
        <v>60</v>
      </c>
      <c r="C133" s="23" t="s">
        <v>61</v>
      </c>
      <c r="D133" s="23" t="s">
        <v>59</v>
      </c>
      <c r="E133" s="23" t="str">
        <v>David Wilkinson</v>
      </c>
      <c r="F133" s="23" t="s">
        <v>33</v>
      </c>
      <c r="G133" s="24">
        <v>13466.999999999998</v>
      </c>
      <c r="H133" s="23" t="s">
        <v>43</v>
      </c>
      <c r="I133" s="24">
        <v>15000</v>
      </c>
      <c r="J133" s="24">
        <f t="shared" si="2"/>
        <v>0</v>
      </c>
      <c r="K133" s="25">
        <f>'Copy of All Sales'!$G133-'Copy of All Sales'!$I133</f>
        <v>-1533.0000000000018</v>
      </c>
    </row>
    <row r="134" spans="1:11" x14ac:dyDescent="0.25">
      <c r="A134" s="18">
        <v>44348</v>
      </c>
      <c r="B134" s="19" t="s">
        <v>41</v>
      </c>
      <c r="C134" s="19" t="s">
        <v>42</v>
      </c>
      <c r="D134" s="19" t="s">
        <v>40</v>
      </c>
      <c r="E134" s="19" t="str">
        <v>Jonah Seitz</v>
      </c>
      <c r="F134" s="19" t="s">
        <v>33</v>
      </c>
      <c r="G134" s="20">
        <v>16036.8</v>
      </c>
      <c r="H134" s="19" t="s">
        <v>15</v>
      </c>
      <c r="I134" s="20">
        <v>15000</v>
      </c>
      <c r="J134" s="20">
        <f t="shared" si="2"/>
        <v>1603.68</v>
      </c>
      <c r="K134" s="21">
        <f>'Copy of All Sales'!$G134-'Copy of All Sales'!$I134</f>
        <v>1036.7999999999993</v>
      </c>
    </row>
    <row r="135" spans="1:11" x14ac:dyDescent="0.25">
      <c r="A135" s="22">
        <v>44348</v>
      </c>
      <c r="B135" s="23" t="s">
        <v>63</v>
      </c>
      <c r="C135" s="23" t="s">
        <v>64</v>
      </c>
      <c r="D135" s="23" t="s">
        <v>62</v>
      </c>
      <c r="E135" s="23" t="str">
        <v>Charlotte Edwards</v>
      </c>
      <c r="F135" s="23" t="s">
        <v>33</v>
      </c>
      <c r="G135" s="24">
        <v>16846.8</v>
      </c>
      <c r="H135" s="23" t="s">
        <v>15</v>
      </c>
      <c r="I135" s="24">
        <v>15000</v>
      </c>
      <c r="J135" s="24">
        <f t="shared" si="2"/>
        <v>1684.68</v>
      </c>
      <c r="K135" s="25">
        <f>'Copy of All Sales'!$G135-'Copy of All Sales'!$I135</f>
        <v>1846.7999999999993</v>
      </c>
    </row>
    <row r="136" spans="1:11" x14ac:dyDescent="0.25">
      <c r="A136" s="18">
        <v>44378</v>
      </c>
      <c r="B136" s="19" t="s">
        <v>60</v>
      </c>
      <c r="C136" s="19" t="s">
        <v>61</v>
      </c>
      <c r="D136" s="19" t="s">
        <v>59</v>
      </c>
      <c r="E136" s="19" t="str">
        <v>David Wilkinson</v>
      </c>
      <c r="F136" s="19" t="s">
        <v>33</v>
      </c>
      <c r="G136" s="20">
        <v>15957.2</v>
      </c>
      <c r="H136" s="19" t="s">
        <v>43</v>
      </c>
      <c r="I136" s="20">
        <v>15000</v>
      </c>
      <c r="J136" s="20">
        <f t="shared" si="2"/>
        <v>1595.7200000000003</v>
      </c>
      <c r="K136" s="21">
        <f>'Copy of All Sales'!$G136-'Copy of All Sales'!$I136</f>
        <v>957.20000000000073</v>
      </c>
    </row>
    <row r="137" spans="1:11" x14ac:dyDescent="0.25">
      <c r="A137" s="22">
        <v>44378</v>
      </c>
      <c r="B137" s="23" t="s">
        <v>72</v>
      </c>
      <c r="C137" s="23" t="s">
        <v>73</v>
      </c>
      <c r="D137" s="23" t="s">
        <v>71</v>
      </c>
      <c r="E137" s="23" t="str">
        <v>Sarah Gibbs</v>
      </c>
      <c r="F137" s="23" t="s">
        <v>33</v>
      </c>
      <c r="G137" s="24">
        <v>16492</v>
      </c>
      <c r="H137" s="23" t="s">
        <v>11</v>
      </c>
      <c r="I137" s="24">
        <v>15000</v>
      </c>
      <c r="J137" s="24">
        <f t="shared" si="2"/>
        <v>1649.2</v>
      </c>
      <c r="K137" s="25">
        <f>'Copy of All Sales'!$G137-'Copy of All Sales'!$I137</f>
        <v>1492</v>
      </c>
    </row>
    <row r="138" spans="1:11" x14ac:dyDescent="0.25">
      <c r="A138" s="18">
        <v>44378</v>
      </c>
      <c r="B138" s="19" t="s">
        <v>63</v>
      </c>
      <c r="C138" s="19" t="s">
        <v>64</v>
      </c>
      <c r="D138" s="19" t="s">
        <v>62</v>
      </c>
      <c r="E138" s="19" t="str">
        <v>Charlotte Edwards</v>
      </c>
      <c r="F138" s="19" t="s">
        <v>33</v>
      </c>
      <c r="G138" s="20">
        <v>21295.4</v>
      </c>
      <c r="H138" s="19" t="s">
        <v>11</v>
      </c>
      <c r="I138" s="20">
        <v>15000</v>
      </c>
      <c r="J138" s="20">
        <f t="shared" si="2"/>
        <v>2129.5400000000004</v>
      </c>
      <c r="K138" s="21">
        <f>'Copy of All Sales'!$G138-'Copy of All Sales'!$I138</f>
        <v>6295.4000000000015</v>
      </c>
    </row>
    <row r="139" spans="1:11" x14ac:dyDescent="0.25">
      <c r="A139" s="22">
        <v>44378</v>
      </c>
      <c r="B139" s="23" t="s">
        <v>31</v>
      </c>
      <c r="C139" s="23" t="s">
        <v>32</v>
      </c>
      <c r="D139" s="23" t="s">
        <v>30</v>
      </c>
      <c r="E139" s="23" t="str">
        <v>Chloe Fusaro</v>
      </c>
      <c r="F139" s="23" t="s">
        <v>33</v>
      </c>
      <c r="G139" s="24">
        <v>25518.800000000003</v>
      </c>
      <c r="H139" s="23" t="s">
        <v>11</v>
      </c>
      <c r="I139" s="24">
        <v>15000</v>
      </c>
      <c r="J139" s="24">
        <f t="shared" si="2"/>
        <v>2551.8800000000006</v>
      </c>
      <c r="K139" s="25">
        <f>'Copy of All Sales'!$G139-'Copy of All Sales'!$I139</f>
        <v>10518.800000000003</v>
      </c>
    </row>
    <row r="140" spans="1:11" x14ac:dyDescent="0.25">
      <c r="A140" s="18">
        <v>44378</v>
      </c>
      <c r="B140" s="19" t="s">
        <v>31</v>
      </c>
      <c r="C140" s="19" t="s">
        <v>32</v>
      </c>
      <c r="D140" s="19" t="s">
        <v>30</v>
      </c>
      <c r="E140" s="19" t="str">
        <v>Chloe Fusaro</v>
      </c>
      <c r="F140" s="19" t="s">
        <v>33</v>
      </c>
      <c r="G140" s="20">
        <v>27676.6</v>
      </c>
      <c r="H140" s="19" t="s">
        <v>15</v>
      </c>
      <c r="I140" s="20">
        <v>15000</v>
      </c>
      <c r="J140" s="20">
        <f t="shared" si="2"/>
        <v>2767.66</v>
      </c>
      <c r="K140" s="21">
        <f>'Copy of All Sales'!$G140-'Copy of All Sales'!$I140</f>
        <v>12676.599999999999</v>
      </c>
    </row>
    <row r="141" spans="1:11" x14ac:dyDescent="0.25">
      <c r="A141" s="22">
        <v>44378</v>
      </c>
      <c r="B141" s="23" t="s">
        <v>63</v>
      </c>
      <c r="C141" s="23" t="s">
        <v>64</v>
      </c>
      <c r="D141" s="23" t="s">
        <v>62</v>
      </c>
      <c r="E141" s="23" t="str">
        <v>Charlotte Edwards</v>
      </c>
      <c r="F141" s="23" t="s">
        <v>33</v>
      </c>
      <c r="G141" s="24">
        <v>28395</v>
      </c>
      <c r="H141" s="23" t="s">
        <v>43</v>
      </c>
      <c r="I141" s="24">
        <v>15000</v>
      </c>
      <c r="J141" s="24">
        <f t="shared" si="2"/>
        <v>2839.5</v>
      </c>
      <c r="K141" s="25">
        <f>'Copy of All Sales'!$G141-'Copy of All Sales'!$I141</f>
        <v>13395</v>
      </c>
    </row>
    <row r="142" spans="1:11" x14ac:dyDescent="0.25">
      <c r="A142" s="18">
        <v>44378</v>
      </c>
      <c r="B142" s="19" t="s">
        <v>72</v>
      </c>
      <c r="C142" s="19" t="s">
        <v>73</v>
      </c>
      <c r="D142" s="19" t="s">
        <v>71</v>
      </c>
      <c r="E142" s="19" t="str">
        <v>Sarah Gibbs</v>
      </c>
      <c r="F142" s="19" t="s">
        <v>33</v>
      </c>
      <c r="G142" s="20">
        <v>41826.400000000001</v>
      </c>
      <c r="H142" s="19" t="s">
        <v>43</v>
      </c>
      <c r="I142" s="20">
        <v>15000</v>
      </c>
      <c r="J142" s="20">
        <f t="shared" si="2"/>
        <v>4182.6400000000003</v>
      </c>
      <c r="K142" s="21">
        <f>'Copy of All Sales'!$G142-'Copy of All Sales'!$I142</f>
        <v>26826.400000000001</v>
      </c>
    </row>
    <row r="143" spans="1:11" x14ac:dyDescent="0.25">
      <c r="A143" s="22">
        <v>44378</v>
      </c>
      <c r="B143" s="23" t="s">
        <v>72</v>
      </c>
      <c r="C143" s="23" t="s">
        <v>73</v>
      </c>
      <c r="D143" s="23" t="s">
        <v>71</v>
      </c>
      <c r="E143" s="23" t="str">
        <v>Sarah Gibbs</v>
      </c>
      <c r="F143" s="23" t="s">
        <v>33</v>
      </c>
      <c r="G143" s="24">
        <v>49055.999999999993</v>
      </c>
      <c r="H143" s="23" t="s">
        <v>11</v>
      </c>
      <c r="I143" s="24">
        <v>15000</v>
      </c>
      <c r="J143" s="24">
        <f t="shared" si="2"/>
        <v>4905.5999999999995</v>
      </c>
      <c r="K143" s="25">
        <f>'Copy of All Sales'!$G143-'Copy of All Sales'!$I143</f>
        <v>34055.999999999993</v>
      </c>
    </row>
    <row r="144" spans="1:11" x14ac:dyDescent="0.25">
      <c r="A144" s="18">
        <v>44409</v>
      </c>
      <c r="B144" s="19" t="s">
        <v>31</v>
      </c>
      <c r="C144" s="19" t="s">
        <v>32</v>
      </c>
      <c r="D144" s="19" t="s">
        <v>30</v>
      </c>
      <c r="E144" s="19" t="str">
        <v>Chloe Fusaro</v>
      </c>
      <c r="F144" s="19" t="s">
        <v>33</v>
      </c>
      <c r="G144" s="20">
        <v>6201</v>
      </c>
      <c r="H144" s="19" t="s">
        <v>43</v>
      </c>
      <c r="I144" s="20">
        <v>15000</v>
      </c>
      <c r="J144" s="20">
        <f t="shared" si="2"/>
        <v>0</v>
      </c>
      <c r="K144" s="21">
        <f>'Copy of All Sales'!$G144-'Copy of All Sales'!$I144</f>
        <v>-8799</v>
      </c>
    </row>
    <row r="145" spans="1:11" x14ac:dyDescent="0.25">
      <c r="A145" s="22">
        <v>44409</v>
      </c>
      <c r="B145" s="23" t="s">
        <v>60</v>
      </c>
      <c r="C145" s="23" t="s">
        <v>61</v>
      </c>
      <c r="D145" s="23" t="s">
        <v>59</v>
      </c>
      <c r="E145" s="23" t="str">
        <v>David Wilkinson</v>
      </c>
      <c r="F145" s="23" t="s">
        <v>33</v>
      </c>
      <c r="G145" s="24">
        <v>6311.4</v>
      </c>
      <c r="H145" s="23" t="s">
        <v>43</v>
      </c>
      <c r="I145" s="24">
        <v>15000</v>
      </c>
      <c r="J145" s="24">
        <f t="shared" si="2"/>
        <v>0</v>
      </c>
      <c r="K145" s="25">
        <f>'Copy of All Sales'!$G145-'Copy of All Sales'!$I145</f>
        <v>-8688.6</v>
      </c>
    </row>
    <row r="146" spans="1:11" x14ac:dyDescent="0.25">
      <c r="A146" s="18">
        <v>44409</v>
      </c>
      <c r="B146" s="19" t="s">
        <v>41</v>
      </c>
      <c r="C146" s="19" t="s">
        <v>42</v>
      </c>
      <c r="D146" s="19" t="s">
        <v>40</v>
      </c>
      <c r="E146" s="19" t="str">
        <v>Jonah Seitz</v>
      </c>
      <c r="F146" s="19" t="s">
        <v>33</v>
      </c>
      <c r="G146" s="20">
        <v>7289.6</v>
      </c>
      <c r="H146" s="19" t="s">
        <v>11</v>
      </c>
      <c r="I146" s="20">
        <v>15000</v>
      </c>
      <c r="J146" s="20">
        <f t="shared" si="2"/>
        <v>0</v>
      </c>
      <c r="K146" s="21">
        <f>'Copy of All Sales'!$G146-'Copy of All Sales'!$I146</f>
        <v>-7710.4</v>
      </c>
    </row>
    <row r="147" spans="1:11" x14ac:dyDescent="0.25">
      <c r="A147" s="22">
        <v>44409</v>
      </c>
      <c r="B147" s="23" t="s">
        <v>41</v>
      </c>
      <c r="C147" s="23" t="s">
        <v>42</v>
      </c>
      <c r="D147" s="23" t="s">
        <v>40</v>
      </c>
      <c r="E147" s="23" t="str">
        <v>Jonah Seitz</v>
      </c>
      <c r="F147" s="23" t="s">
        <v>33</v>
      </c>
      <c r="G147" s="24">
        <v>8322.4</v>
      </c>
      <c r="H147" s="23" t="s">
        <v>11</v>
      </c>
      <c r="I147" s="24">
        <v>15000</v>
      </c>
      <c r="J147" s="24">
        <f t="shared" si="2"/>
        <v>0</v>
      </c>
      <c r="K147" s="25">
        <f>'Copy of All Sales'!$G147-'Copy of All Sales'!$I147</f>
        <v>-6677.6</v>
      </c>
    </row>
    <row r="148" spans="1:11" x14ac:dyDescent="0.25">
      <c r="A148" s="18">
        <v>44409</v>
      </c>
      <c r="B148" s="19" t="s">
        <v>63</v>
      </c>
      <c r="C148" s="19" t="s">
        <v>64</v>
      </c>
      <c r="D148" s="19" t="s">
        <v>62</v>
      </c>
      <c r="E148" s="19" t="str">
        <v>Charlotte Edwards</v>
      </c>
      <c r="F148" s="19" t="s">
        <v>33</v>
      </c>
      <c r="G148" s="20">
        <v>8501.9000000000015</v>
      </c>
      <c r="H148" s="19" t="s">
        <v>15</v>
      </c>
      <c r="I148" s="20">
        <v>15000</v>
      </c>
      <c r="J148" s="20">
        <f t="shared" si="2"/>
        <v>0</v>
      </c>
      <c r="K148" s="21">
        <f>'Copy of All Sales'!$G148-'Copy of All Sales'!$I148</f>
        <v>-6498.0999999999985</v>
      </c>
    </row>
    <row r="149" spans="1:11" x14ac:dyDescent="0.25">
      <c r="A149" s="22">
        <v>44409</v>
      </c>
      <c r="B149" s="23" t="s">
        <v>31</v>
      </c>
      <c r="C149" s="23" t="s">
        <v>32</v>
      </c>
      <c r="D149" s="23" t="s">
        <v>30</v>
      </c>
      <c r="E149" s="23" t="str">
        <v>Chloe Fusaro</v>
      </c>
      <c r="F149" s="23" t="s">
        <v>33</v>
      </c>
      <c r="G149" s="24">
        <v>9708.2999999999993</v>
      </c>
      <c r="H149" s="23" t="s">
        <v>15</v>
      </c>
      <c r="I149" s="24">
        <v>15000</v>
      </c>
      <c r="J149" s="24">
        <f t="shared" si="2"/>
        <v>0</v>
      </c>
      <c r="K149" s="25">
        <f>'Copy of All Sales'!$G149-'Copy of All Sales'!$I149</f>
        <v>-5291.7000000000007</v>
      </c>
    </row>
    <row r="150" spans="1:11" x14ac:dyDescent="0.25">
      <c r="A150" s="18">
        <v>44409</v>
      </c>
      <c r="B150" s="19" t="s">
        <v>41</v>
      </c>
      <c r="C150" s="19" t="s">
        <v>42</v>
      </c>
      <c r="D150" s="19" t="s">
        <v>40</v>
      </c>
      <c r="E150" s="19" t="str">
        <v>Jonah Seitz</v>
      </c>
      <c r="F150" s="19" t="s">
        <v>33</v>
      </c>
      <c r="G150" s="20">
        <v>12944.399999999998</v>
      </c>
      <c r="H150" s="19" t="s">
        <v>15</v>
      </c>
      <c r="I150" s="20">
        <v>15000</v>
      </c>
      <c r="J150" s="20">
        <f t="shared" si="2"/>
        <v>0</v>
      </c>
      <c r="K150" s="21">
        <f>'Copy of All Sales'!$G150-'Copy of All Sales'!$I150</f>
        <v>-2055.6000000000022</v>
      </c>
    </row>
    <row r="151" spans="1:11" x14ac:dyDescent="0.25">
      <c r="A151" s="22">
        <v>44409</v>
      </c>
      <c r="B151" s="23" t="s">
        <v>31</v>
      </c>
      <c r="C151" s="23" t="s">
        <v>32</v>
      </c>
      <c r="D151" s="23" t="s">
        <v>30</v>
      </c>
      <c r="E151" s="23" t="str">
        <v>Chloe Fusaro</v>
      </c>
      <c r="F151" s="23" t="s">
        <v>33</v>
      </c>
      <c r="G151" s="24">
        <v>14248</v>
      </c>
      <c r="H151" s="23" t="s">
        <v>15</v>
      </c>
      <c r="I151" s="24">
        <v>15000</v>
      </c>
      <c r="J151" s="24">
        <f t="shared" si="2"/>
        <v>0</v>
      </c>
      <c r="K151" s="25">
        <f>'Copy of All Sales'!$G151-'Copy of All Sales'!$I151</f>
        <v>-752</v>
      </c>
    </row>
    <row r="152" spans="1:11" x14ac:dyDescent="0.25">
      <c r="A152" s="18">
        <v>44409</v>
      </c>
      <c r="B152" s="19" t="s">
        <v>41</v>
      </c>
      <c r="C152" s="19" t="s">
        <v>42</v>
      </c>
      <c r="D152" s="19" t="s">
        <v>40</v>
      </c>
      <c r="E152" s="19" t="str">
        <v>Jonah Seitz</v>
      </c>
      <c r="F152" s="19" t="s">
        <v>33</v>
      </c>
      <c r="G152" s="20">
        <v>18298.399999999998</v>
      </c>
      <c r="H152" s="19" t="s">
        <v>43</v>
      </c>
      <c r="I152" s="20">
        <v>15000</v>
      </c>
      <c r="J152" s="20">
        <f t="shared" si="2"/>
        <v>1829.84</v>
      </c>
      <c r="K152" s="21">
        <f>'Copy of All Sales'!$G152-'Copy of All Sales'!$I152</f>
        <v>3298.3999999999978</v>
      </c>
    </row>
    <row r="153" spans="1:11" x14ac:dyDescent="0.25">
      <c r="A153" s="22">
        <v>44409</v>
      </c>
      <c r="B153" s="23" t="s">
        <v>41</v>
      </c>
      <c r="C153" s="23" t="s">
        <v>42</v>
      </c>
      <c r="D153" s="23" t="s">
        <v>40</v>
      </c>
      <c r="E153" s="23" t="str">
        <v>Jonah Seitz</v>
      </c>
      <c r="F153" s="23" t="s">
        <v>33</v>
      </c>
      <c r="G153" s="24">
        <v>18838.399999999998</v>
      </c>
      <c r="H153" s="23" t="s">
        <v>43</v>
      </c>
      <c r="I153" s="24">
        <v>15000</v>
      </c>
      <c r="J153" s="24">
        <f t="shared" si="2"/>
        <v>1883.84</v>
      </c>
      <c r="K153" s="25">
        <f>'Copy of All Sales'!$G153-'Copy of All Sales'!$I153</f>
        <v>3838.3999999999978</v>
      </c>
    </row>
    <row r="154" spans="1:11" x14ac:dyDescent="0.25">
      <c r="A154" s="18">
        <v>44409</v>
      </c>
      <c r="B154" s="19" t="s">
        <v>72</v>
      </c>
      <c r="C154" s="19" t="s">
        <v>73</v>
      </c>
      <c r="D154" s="19" t="s">
        <v>71</v>
      </c>
      <c r="E154" s="19" t="str">
        <v>Sarah Gibbs</v>
      </c>
      <c r="F154" s="19" t="s">
        <v>33</v>
      </c>
      <c r="G154" s="20">
        <v>24469.599999999999</v>
      </c>
      <c r="H154" s="19" t="s">
        <v>15</v>
      </c>
      <c r="I154" s="20">
        <v>15000</v>
      </c>
      <c r="J154" s="20">
        <f t="shared" si="2"/>
        <v>2446.96</v>
      </c>
      <c r="K154" s="21">
        <f>'Copy of All Sales'!$G154-'Copy of All Sales'!$I154</f>
        <v>9469.5999999999985</v>
      </c>
    </row>
    <row r="155" spans="1:11" x14ac:dyDescent="0.25">
      <c r="A155" s="22">
        <v>44409</v>
      </c>
      <c r="B155" s="23" t="s">
        <v>72</v>
      </c>
      <c r="C155" s="23" t="s">
        <v>73</v>
      </c>
      <c r="D155" s="23" t="s">
        <v>71</v>
      </c>
      <c r="E155" s="23" t="str">
        <v>Sarah Gibbs</v>
      </c>
      <c r="F155" s="23" t="s">
        <v>33</v>
      </c>
      <c r="G155" s="24">
        <v>31053.4</v>
      </c>
      <c r="H155" s="23" t="s">
        <v>11</v>
      </c>
      <c r="I155" s="24">
        <v>15000</v>
      </c>
      <c r="J155" s="24">
        <f t="shared" si="2"/>
        <v>3105.34</v>
      </c>
      <c r="K155" s="25">
        <f>'Copy of All Sales'!$G155-'Copy of All Sales'!$I155</f>
        <v>16053.400000000001</v>
      </c>
    </row>
    <row r="156" spans="1:11" x14ac:dyDescent="0.25">
      <c r="A156" s="18">
        <v>44440</v>
      </c>
      <c r="B156" s="19" t="s">
        <v>41</v>
      </c>
      <c r="C156" s="19" t="s">
        <v>42</v>
      </c>
      <c r="D156" s="19" t="s">
        <v>40</v>
      </c>
      <c r="E156" s="19" t="str">
        <v>Jonah Seitz</v>
      </c>
      <c r="F156" s="19" t="s">
        <v>33</v>
      </c>
      <c r="G156" s="20">
        <v>3710</v>
      </c>
      <c r="H156" s="19" t="s">
        <v>43</v>
      </c>
      <c r="I156" s="20">
        <v>15000</v>
      </c>
      <c r="J156" s="20">
        <f t="shared" si="2"/>
        <v>0</v>
      </c>
      <c r="K156" s="21">
        <f>'Copy of All Sales'!$G156-'Copy of All Sales'!$I156</f>
        <v>-11290</v>
      </c>
    </row>
    <row r="157" spans="1:11" x14ac:dyDescent="0.25">
      <c r="A157" s="22">
        <v>44440</v>
      </c>
      <c r="B157" s="23" t="s">
        <v>63</v>
      </c>
      <c r="C157" s="23" t="s">
        <v>64</v>
      </c>
      <c r="D157" s="23" t="s">
        <v>62</v>
      </c>
      <c r="E157" s="23" t="str">
        <v>Charlotte Edwards</v>
      </c>
      <c r="F157" s="23" t="s">
        <v>33</v>
      </c>
      <c r="G157" s="24">
        <v>6600</v>
      </c>
      <c r="H157" s="23" t="s">
        <v>11</v>
      </c>
      <c r="I157" s="24">
        <v>15000</v>
      </c>
      <c r="J157" s="24">
        <f t="shared" si="2"/>
        <v>0</v>
      </c>
      <c r="K157" s="25">
        <f>'Copy of All Sales'!$G157-'Copy of All Sales'!$I157</f>
        <v>-8400</v>
      </c>
    </row>
    <row r="158" spans="1:11" x14ac:dyDescent="0.25">
      <c r="A158" s="18">
        <v>44440</v>
      </c>
      <c r="B158" s="19" t="s">
        <v>72</v>
      </c>
      <c r="C158" s="19" t="s">
        <v>73</v>
      </c>
      <c r="D158" s="19" t="s">
        <v>71</v>
      </c>
      <c r="E158" s="19" t="str">
        <v>Sarah Gibbs</v>
      </c>
      <c r="F158" s="19" t="s">
        <v>33</v>
      </c>
      <c r="G158" s="20">
        <v>8001</v>
      </c>
      <c r="H158" s="19" t="s">
        <v>11</v>
      </c>
      <c r="I158" s="20">
        <v>15000</v>
      </c>
      <c r="J158" s="20">
        <f t="shared" si="2"/>
        <v>0</v>
      </c>
      <c r="K158" s="21">
        <f>'Copy of All Sales'!$G158-'Copy of All Sales'!$I158</f>
        <v>-6999</v>
      </c>
    </row>
    <row r="159" spans="1:11" x14ac:dyDescent="0.25">
      <c r="A159" s="22">
        <v>44440</v>
      </c>
      <c r="B159" s="23" t="s">
        <v>41</v>
      </c>
      <c r="C159" s="23" t="s">
        <v>42</v>
      </c>
      <c r="D159" s="23" t="s">
        <v>40</v>
      </c>
      <c r="E159" s="23" t="str">
        <v>Jonah Seitz</v>
      </c>
      <c r="F159" s="23" t="s">
        <v>33</v>
      </c>
      <c r="G159" s="24">
        <v>8772</v>
      </c>
      <c r="H159" s="23" t="s">
        <v>15</v>
      </c>
      <c r="I159" s="24">
        <v>15000</v>
      </c>
      <c r="J159" s="24">
        <f t="shared" si="2"/>
        <v>0</v>
      </c>
      <c r="K159" s="25">
        <f>'Copy of All Sales'!$G159-'Copy of All Sales'!$I159</f>
        <v>-6228</v>
      </c>
    </row>
    <row r="160" spans="1:11" x14ac:dyDescent="0.25">
      <c r="A160" s="18">
        <v>44440</v>
      </c>
      <c r="B160" s="19" t="s">
        <v>41</v>
      </c>
      <c r="C160" s="19" t="s">
        <v>42</v>
      </c>
      <c r="D160" s="19" t="s">
        <v>40</v>
      </c>
      <c r="E160" s="19" t="str">
        <v>Jonah Seitz</v>
      </c>
      <c r="F160" s="19" t="s">
        <v>33</v>
      </c>
      <c r="G160" s="20">
        <v>14089.199999999999</v>
      </c>
      <c r="H160" s="19" t="s">
        <v>15</v>
      </c>
      <c r="I160" s="20">
        <v>15000</v>
      </c>
      <c r="J160" s="20">
        <f t="shared" si="2"/>
        <v>0</v>
      </c>
      <c r="K160" s="21">
        <f>'Copy of All Sales'!$G160-'Copy of All Sales'!$I160</f>
        <v>-910.80000000000109</v>
      </c>
    </row>
    <row r="161" spans="1:11" x14ac:dyDescent="0.25">
      <c r="A161" s="22">
        <v>44440</v>
      </c>
      <c r="B161" s="23" t="s">
        <v>31</v>
      </c>
      <c r="C161" s="23" t="s">
        <v>32</v>
      </c>
      <c r="D161" s="23" t="s">
        <v>30</v>
      </c>
      <c r="E161" s="23" t="str">
        <v>Chloe Fusaro</v>
      </c>
      <c r="F161" s="23" t="s">
        <v>33</v>
      </c>
      <c r="G161" s="24">
        <v>16702.400000000001</v>
      </c>
      <c r="H161" s="23" t="s">
        <v>15</v>
      </c>
      <c r="I161" s="24">
        <v>15000</v>
      </c>
      <c r="J161" s="24">
        <f t="shared" si="2"/>
        <v>1670.2400000000002</v>
      </c>
      <c r="K161" s="25">
        <f>'Copy of All Sales'!$G161-'Copy of All Sales'!$I161</f>
        <v>1702.4000000000015</v>
      </c>
    </row>
    <row r="162" spans="1:11" x14ac:dyDescent="0.25">
      <c r="A162" s="18">
        <v>44440</v>
      </c>
      <c r="B162" s="19" t="s">
        <v>31</v>
      </c>
      <c r="C162" s="19" t="s">
        <v>32</v>
      </c>
      <c r="D162" s="19" t="s">
        <v>30</v>
      </c>
      <c r="E162" s="19" t="str">
        <v>Chloe Fusaro</v>
      </c>
      <c r="F162" s="19" t="s">
        <v>33</v>
      </c>
      <c r="G162" s="20">
        <v>21216</v>
      </c>
      <c r="H162" s="19" t="s">
        <v>15</v>
      </c>
      <c r="I162" s="20">
        <v>15000</v>
      </c>
      <c r="J162" s="20">
        <f t="shared" si="2"/>
        <v>2121.6</v>
      </c>
      <c r="K162" s="21">
        <f>'Copy of All Sales'!$G162-'Copy of All Sales'!$I162</f>
        <v>6216</v>
      </c>
    </row>
    <row r="163" spans="1:11" x14ac:dyDescent="0.25">
      <c r="A163" s="22">
        <v>44440</v>
      </c>
      <c r="B163" s="23" t="s">
        <v>63</v>
      </c>
      <c r="C163" s="23" t="s">
        <v>64</v>
      </c>
      <c r="D163" s="23" t="s">
        <v>62</v>
      </c>
      <c r="E163" s="23" t="str">
        <v>Charlotte Edwards</v>
      </c>
      <c r="F163" s="23" t="s">
        <v>33</v>
      </c>
      <c r="G163" s="24">
        <v>21546</v>
      </c>
      <c r="H163" s="23" t="s">
        <v>11</v>
      </c>
      <c r="I163" s="24">
        <v>15000</v>
      </c>
      <c r="J163" s="24">
        <f t="shared" si="2"/>
        <v>2154.6</v>
      </c>
      <c r="K163" s="25">
        <f>'Copy of All Sales'!$G163-'Copy of All Sales'!$I163</f>
        <v>6546</v>
      </c>
    </row>
    <row r="164" spans="1:11" x14ac:dyDescent="0.25">
      <c r="A164" s="18">
        <v>44440</v>
      </c>
      <c r="B164" s="19" t="s">
        <v>63</v>
      </c>
      <c r="C164" s="19" t="s">
        <v>64</v>
      </c>
      <c r="D164" s="19" t="s">
        <v>62</v>
      </c>
      <c r="E164" s="19" t="str">
        <v>Charlotte Edwards</v>
      </c>
      <c r="F164" s="19" t="s">
        <v>33</v>
      </c>
      <c r="G164" s="20">
        <v>31186.6</v>
      </c>
      <c r="H164" s="19" t="s">
        <v>11</v>
      </c>
      <c r="I164" s="20">
        <v>15000</v>
      </c>
      <c r="J164" s="20">
        <f t="shared" si="2"/>
        <v>3118.66</v>
      </c>
      <c r="K164" s="21">
        <f>'Copy of All Sales'!$G164-'Copy of All Sales'!$I164</f>
        <v>16186.599999999999</v>
      </c>
    </row>
    <row r="165" spans="1:11" x14ac:dyDescent="0.25">
      <c r="A165" s="22">
        <v>44440</v>
      </c>
      <c r="B165" s="23" t="s">
        <v>31</v>
      </c>
      <c r="C165" s="23" t="s">
        <v>32</v>
      </c>
      <c r="D165" s="23" t="s">
        <v>30</v>
      </c>
      <c r="E165" s="23" t="str">
        <v>Chloe Fusaro</v>
      </c>
      <c r="F165" s="23" t="s">
        <v>33</v>
      </c>
      <c r="G165" s="24">
        <v>31999.200000000001</v>
      </c>
      <c r="H165" s="23" t="s">
        <v>15</v>
      </c>
      <c r="I165" s="24">
        <v>15000</v>
      </c>
      <c r="J165" s="24">
        <f t="shared" si="2"/>
        <v>3199.92</v>
      </c>
      <c r="K165" s="25">
        <f>'Copy of All Sales'!$G165-'Copy of All Sales'!$I165</f>
        <v>16999.2</v>
      </c>
    </row>
    <row r="166" spans="1:11" x14ac:dyDescent="0.25">
      <c r="A166" s="18">
        <v>44440</v>
      </c>
      <c r="B166" s="19" t="s">
        <v>63</v>
      </c>
      <c r="C166" s="19" t="s">
        <v>64</v>
      </c>
      <c r="D166" s="19" t="s">
        <v>62</v>
      </c>
      <c r="E166" s="19" t="str">
        <v>Charlotte Edwards</v>
      </c>
      <c r="F166" s="19" t="s">
        <v>33</v>
      </c>
      <c r="G166" s="20">
        <v>37520</v>
      </c>
      <c r="H166" s="19" t="s">
        <v>15</v>
      </c>
      <c r="I166" s="20">
        <v>15000</v>
      </c>
      <c r="J166" s="20">
        <f t="shared" si="2"/>
        <v>3752</v>
      </c>
      <c r="K166" s="21">
        <f>'Copy of All Sales'!$G166-'Copy of All Sales'!$I166</f>
        <v>22520</v>
      </c>
    </row>
    <row r="167" spans="1:11" x14ac:dyDescent="0.25">
      <c r="A167" s="22">
        <v>44440</v>
      </c>
      <c r="B167" s="23" t="s">
        <v>63</v>
      </c>
      <c r="C167" s="23" t="s">
        <v>64</v>
      </c>
      <c r="D167" s="23" t="s">
        <v>62</v>
      </c>
      <c r="E167" s="23" t="str">
        <v>Charlotte Edwards</v>
      </c>
      <c r="F167" s="23" t="s">
        <v>33</v>
      </c>
      <c r="G167" s="24">
        <v>41215.299999999996</v>
      </c>
      <c r="H167" s="23" t="s">
        <v>43</v>
      </c>
      <c r="I167" s="24">
        <v>15000</v>
      </c>
      <c r="J167" s="24">
        <f t="shared" si="2"/>
        <v>4121.53</v>
      </c>
      <c r="K167" s="25">
        <f>'Copy of All Sales'!$G167-'Copy of All Sales'!$I167</f>
        <v>26215.299999999996</v>
      </c>
    </row>
    <row r="168" spans="1:11" x14ac:dyDescent="0.25">
      <c r="A168" s="18">
        <v>44470</v>
      </c>
      <c r="B168" s="19" t="s">
        <v>31</v>
      </c>
      <c r="C168" s="19" t="s">
        <v>32</v>
      </c>
      <c r="D168" s="19" t="s">
        <v>30</v>
      </c>
      <c r="E168" s="19" t="str">
        <v>Chloe Fusaro</v>
      </c>
      <c r="F168" s="19" t="s">
        <v>33</v>
      </c>
      <c r="G168" s="20">
        <v>3035.1</v>
      </c>
      <c r="H168" s="19" t="s">
        <v>15</v>
      </c>
      <c r="I168" s="20">
        <v>15000</v>
      </c>
      <c r="J168" s="20">
        <f t="shared" si="2"/>
        <v>0</v>
      </c>
      <c r="K168" s="21">
        <f>'Copy of All Sales'!$G168-'Copy of All Sales'!$I168</f>
        <v>-11964.9</v>
      </c>
    </row>
    <row r="169" spans="1:11" x14ac:dyDescent="0.25">
      <c r="A169" s="22">
        <v>44470</v>
      </c>
      <c r="B169" s="23" t="s">
        <v>63</v>
      </c>
      <c r="C169" s="23" t="s">
        <v>64</v>
      </c>
      <c r="D169" s="23" t="s">
        <v>62</v>
      </c>
      <c r="E169" s="23" t="str">
        <v>Charlotte Edwards</v>
      </c>
      <c r="F169" s="23" t="s">
        <v>33</v>
      </c>
      <c r="G169" s="24">
        <v>6688</v>
      </c>
      <c r="H169" s="23" t="s">
        <v>15</v>
      </c>
      <c r="I169" s="24">
        <v>15000</v>
      </c>
      <c r="J169" s="24">
        <f t="shared" si="2"/>
        <v>0</v>
      </c>
      <c r="K169" s="25">
        <f>'Copy of All Sales'!$G169-'Copy of All Sales'!$I169</f>
        <v>-8312</v>
      </c>
    </row>
    <row r="170" spans="1:11" x14ac:dyDescent="0.25">
      <c r="A170" s="18">
        <v>44470</v>
      </c>
      <c r="B170" s="19" t="s">
        <v>31</v>
      </c>
      <c r="C170" s="19" t="s">
        <v>32</v>
      </c>
      <c r="D170" s="19" t="s">
        <v>30</v>
      </c>
      <c r="E170" s="19" t="str">
        <v>Chloe Fusaro</v>
      </c>
      <c r="F170" s="19" t="s">
        <v>33</v>
      </c>
      <c r="G170" s="20">
        <v>7024.2</v>
      </c>
      <c r="H170" s="19" t="s">
        <v>43</v>
      </c>
      <c r="I170" s="20">
        <v>15000</v>
      </c>
      <c r="J170" s="20">
        <f t="shared" si="2"/>
        <v>0</v>
      </c>
      <c r="K170" s="21">
        <f>'Copy of All Sales'!$G170-'Copy of All Sales'!$I170</f>
        <v>-7975.8</v>
      </c>
    </row>
    <row r="171" spans="1:11" x14ac:dyDescent="0.25">
      <c r="A171" s="22">
        <v>44470</v>
      </c>
      <c r="B171" s="23" t="s">
        <v>63</v>
      </c>
      <c r="C171" s="23" t="s">
        <v>64</v>
      </c>
      <c r="D171" s="23" t="s">
        <v>62</v>
      </c>
      <c r="E171" s="23" t="str">
        <v>Charlotte Edwards</v>
      </c>
      <c r="F171" s="23" t="s">
        <v>33</v>
      </c>
      <c r="G171" s="24">
        <v>7139.0000000000009</v>
      </c>
      <c r="H171" s="23" t="s">
        <v>11</v>
      </c>
      <c r="I171" s="24">
        <v>15000</v>
      </c>
      <c r="J171" s="24">
        <f t="shared" si="2"/>
        <v>0</v>
      </c>
      <c r="K171" s="25">
        <f>'Copy of All Sales'!$G171-'Copy of All Sales'!$I171</f>
        <v>-7860.9999999999991</v>
      </c>
    </row>
    <row r="172" spans="1:11" x14ac:dyDescent="0.25">
      <c r="A172" s="18">
        <v>44470</v>
      </c>
      <c r="B172" s="19" t="s">
        <v>41</v>
      </c>
      <c r="C172" s="19" t="s">
        <v>42</v>
      </c>
      <c r="D172" s="19" t="s">
        <v>40</v>
      </c>
      <c r="E172" s="19" t="str">
        <v>Jonah Seitz</v>
      </c>
      <c r="F172" s="19" t="s">
        <v>33</v>
      </c>
      <c r="G172" s="20">
        <v>10948</v>
      </c>
      <c r="H172" s="19" t="s">
        <v>15</v>
      </c>
      <c r="I172" s="20">
        <v>15000</v>
      </c>
      <c r="J172" s="20">
        <f t="shared" si="2"/>
        <v>0</v>
      </c>
      <c r="K172" s="21">
        <f>'Copy of All Sales'!$G172-'Copy of All Sales'!$I172</f>
        <v>-4052</v>
      </c>
    </row>
    <row r="173" spans="1:11" x14ac:dyDescent="0.25">
      <c r="A173" s="22">
        <v>44470</v>
      </c>
      <c r="B173" s="23" t="s">
        <v>41</v>
      </c>
      <c r="C173" s="23" t="s">
        <v>42</v>
      </c>
      <c r="D173" s="23" t="s">
        <v>40</v>
      </c>
      <c r="E173" s="23" t="str">
        <v>Jonah Seitz</v>
      </c>
      <c r="F173" s="23" t="s">
        <v>33</v>
      </c>
      <c r="G173" s="24">
        <v>10988.800000000001</v>
      </c>
      <c r="H173" s="23" t="s">
        <v>11</v>
      </c>
      <c r="I173" s="24">
        <v>15000</v>
      </c>
      <c r="J173" s="24">
        <f t="shared" si="2"/>
        <v>0</v>
      </c>
      <c r="K173" s="25">
        <f>'Copy of All Sales'!$G173-'Copy of All Sales'!$I173</f>
        <v>-4011.1999999999989</v>
      </c>
    </row>
    <row r="174" spans="1:11" x14ac:dyDescent="0.25">
      <c r="A174" s="18">
        <v>44470</v>
      </c>
      <c r="B174" s="19" t="s">
        <v>41</v>
      </c>
      <c r="C174" s="19" t="s">
        <v>42</v>
      </c>
      <c r="D174" s="19" t="s">
        <v>40</v>
      </c>
      <c r="E174" s="19" t="str">
        <v>Jonah Seitz</v>
      </c>
      <c r="F174" s="19" t="s">
        <v>33</v>
      </c>
      <c r="G174" s="20">
        <v>12306.6</v>
      </c>
      <c r="H174" s="19" t="s">
        <v>15</v>
      </c>
      <c r="I174" s="20">
        <v>15000</v>
      </c>
      <c r="J174" s="20">
        <f t="shared" si="2"/>
        <v>0</v>
      </c>
      <c r="K174" s="21">
        <f>'Copy of All Sales'!$G174-'Copy of All Sales'!$I174</f>
        <v>-2693.3999999999996</v>
      </c>
    </row>
    <row r="175" spans="1:11" x14ac:dyDescent="0.25">
      <c r="A175" s="22">
        <v>44470</v>
      </c>
      <c r="B175" s="23" t="s">
        <v>41</v>
      </c>
      <c r="C175" s="23" t="s">
        <v>42</v>
      </c>
      <c r="D175" s="23" t="s">
        <v>40</v>
      </c>
      <c r="E175" s="23" t="str">
        <v>Jonah Seitz</v>
      </c>
      <c r="F175" s="23" t="s">
        <v>33</v>
      </c>
      <c r="G175" s="24">
        <v>16077</v>
      </c>
      <c r="H175" s="23" t="s">
        <v>15</v>
      </c>
      <c r="I175" s="24">
        <v>15000</v>
      </c>
      <c r="J175" s="24">
        <f t="shared" si="2"/>
        <v>1607.7</v>
      </c>
      <c r="K175" s="25">
        <f>'Copy of All Sales'!$G175-'Copy of All Sales'!$I175</f>
        <v>1077</v>
      </c>
    </row>
    <row r="176" spans="1:11" x14ac:dyDescent="0.25">
      <c r="A176" s="18">
        <v>44470</v>
      </c>
      <c r="B176" s="19" t="s">
        <v>60</v>
      </c>
      <c r="C176" s="19" t="s">
        <v>61</v>
      </c>
      <c r="D176" s="19" t="s">
        <v>59</v>
      </c>
      <c r="E176" s="19" t="str">
        <v>David Wilkinson</v>
      </c>
      <c r="F176" s="19" t="s">
        <v>33</v>
      </c>
      <c r="G176" s="20">
        <v>19594</v>
      </c>
      <c r="H176" s="19" t="s">
        <v>15</v>
      </c>
      <c r="I176" s="20">
        <v>15000</v>
      </c>
      <c r="J176" s="20">
        <f t="shared" si="2"/>
        <v>1959.4</v>
      </c>
      <c r="K176" s="21">
        <f>'Copy of All Sales'!$G176-'Copy of All Sales'!$I176</f>
        <v>4594</v>
      </c>
    </row>
    <row r="177" spans="1:11" x14ac:dyDescent="0.25">
      <c r="A177" s="22">
        <v>44470</v>
      </c>
      <c r="B177" s="23" t="s">
        <v>31</v>
      </c>
      <c r="C177" s="23" t="s">
        <v>32</v>
      </c>
      <c r="D177" s="23" t="s">
        <v>30</v>
      </c>
      <c r="E177" s="23" t="str">
        <v>Chloe Fusaro</v>
      </c>
      <c r="F177" s="23" t="s">
        <v>33</v>
      </c>
      <c r="G177" s="24">
        <v>19946.199999999997</v>
      </c>
      <c r="H177" s="23" t="s">
        <v>43</v>
      </c>
      <c r="I177" s="24">
        <v>15000</v>
      </c>
      <c r="J177" s="24">
        <f t="shared" si="2"/>
        <v>1994.62</v>
      </c>
      <c r="K177" s="25">
        <f>'Copy of All Sales'!$G177-'Copy of All Sales'!$I177</f>
        <v>4946.1999999999971</v>
      </c>
    </row>
    <row r="178" spans="1:11" x14ac:dyDescent="0.25">
      <c r="A178" s="18">
        <v>44470</v>
      </c>
      <c r="B178" s="19" t="s">
        <v>72</v>
      </c>
      <c r="C178" s="19" t="s">
        <v>73</v>
      </c>
      <c r="D178" s="19" t="s">
        <v>71</v>
      </c>
      <c r="E178" s="19" t="str">
        <v>Sarah Gibbs</v>
      </c>
      <c r="F178" s="19" t="s">
        <v>33</v>
      </c>
      <c r="G178" s="20">
        <v>26773.4</v>
      </c>
      <c r="H178" s="19" t="s">
        <v>43</v>
      </c>
      <c r="I178" s="20">
        <v>15000</v>
      </c>
      <c r="J178" s="20">
        <f t="shared" si="2"/>
        <v>2677.34</v>
      </c>
      <c r="K178" s="21">
        <f>'Copy of All Sales'!$G178-'Copy of All Sales'!$I178</f>
        <v>11773.400000000001</v>
      </c>
    </row>
    <row r="179" spans="1:11" x14ac:dyDescent="0.25">
      <c r="A179" s="22">
        <v>44470</v>
      </c>
      <c r="B179" s="23" t="s">
        <v>41</v>
      </c>
      <c r="C179" s="23" t="s">
        <v>42</v>
      </c>
      <c r="D179" s="23" t="s">
        <v>40</v>
      </c>
      <c r="E179" s="23" t="str">
        <v>Jonah Seitz</v>
      </c>
      <c r="F179" s="23" t="s">
        <v>33</v>
      </c>
      <c r="G179" s="24">
        <v>28464.9</v>
      </c>
      <c r="H179" s="23" t="s">
        <v>43</v>
      </c>
      <c r="I179" s="24">
        <v>15000</v>
      </c>
      <c r="J179" s="24">
        <f t="shared" si="2"/>
        <v>2846.4900000000002</v>
      </c>
      <c r="K179" s="25">
        <f>'Copy of All Sales'!$G179-'Copy of All Sales'!$I179</f>
        <v>13464.900000000001</v>
      </c>
    </row>
    <row r="180" spans="1:11" x14ac:dyDescent="0.25">
      <c r="A180" s="18">
        <v>44470</v>
      </c>
      <c r="B180" s="19" t="s">
        <v>63</v>
      </c>
      <c r="C180" s="19" t="s">
        <v>64</v>
      </c>
      <c r="D180" s="19" t="s">
        <v>62</v>
      </c>
      <c r="E180" s="19" t="str">
        <v>Charlotte Edwards</v>
      </c>
      <c r="F180" s="19" t="s">
        <v>33</v>
      </c>
      <c r="G180" s="20">
        <v>37544.800000000003</v>
      </c>
      <c r="H180" s="19" t="s">
        <v>11</v>
      </c>
      <c r="I180" s="20">
        <v>15000</v>
      </c>
      <c r="J180" s="20">
        <f t="shared" si="2"/>
        <v>3754.4800000000005</v>
      </c>
      <c r="K180" s="21">
        <f>'Copy of All Sales'!$G180-'Copy of All Sales'!$I180</f>
        <v>22544.800000000003</v>
      </c>
    </row>
    <row r="181" spans="1:11" x14ac:dyDescent="0.25">
      <c r="A181" s="22">
        <v>44470</v>
      </c>
      <c r="B181" s="23" t="s">
        <v>41</v>
      </c>
      <c r="C181" s="23" t="s">
        <v>42</v>
      </c>
      <c r="D181" s="23" t="s">
        <v>40</v>
      </c>
      <c r="E181" s="23" t="str">
        <v>Jonah Seitz</v>
      </c>
      <c r="F181" s="23" t="s">
        <v>33</v>
      </c>
      <c r="G181" s="24">
        <v>40224.800000000003</v>
      </c>
      <c r="H181" s="23" t="s">
        <v>11</v>
      </c>
      <c r="I181" s="24">
        <v>15000</v>
      </c>
      <c r="J181" s="24">
        <f t="shared" si="2"/>
        <v>4022.4800000000005</v>
      </c>
      <c r="K181" s="25">
        <f>'Copy of All Sales'!$G181-'Copy of All Sales'!$I181</f>
        <v>25224.800000000003</v>
      </c>
    </row>
    <row r="182" spans="1:11" x14ac:dyDescent="0.25">
      <c r="A182" s="18">
        <v>44470</v>
      </c>
      <c r="B182" s="19" t="s">
        <v>60</v>
      </c>
      <c r="C182" s="19" t="s">
        <v>61</v>
      </c>
      <c r="D182" s="19" t="s">
        <v>59</v>
      </c>
      <c r="E182" s="19" t="str">
        <v>David Wilkinson</v>
      </c>
      <c r="F182" s="19" t="s">
        <v>33</v>
      </c>
      <c r="G182" s="20">
        <v>43591.8</v>
      </c>
      <c r="H182" s="19" t="s">
        <v>11</v>
      </c>
      <c r="I182" s="20">
        <v>15000</v>
      </c>
      <c r="J182" s="20">
        <f t="shared" si="2"/>
        <v>4359.18</v>
      </c>
      <c r="K182" s="21">
        <f>'Copy of All Sales'!$G182-'Copy of All Sales'!$I182</f>
        <v>28591.800000000003</v>
      </c>
    </row>
    <row r="183" spans="1:11" x14ac:dyDescent="0.25">
      <c r="A183" s="22">
        <v>44501</v>
      </c>
      <c r="B183" s="23" t="s">
        <v>72</v>
      </c>
      <c r="C183" s="23" t="s">
        <v>73</v>
      </c>
      <c r="D183" s="23" t="s">
        <v>71</v>
      </c>
      <c r="E183" s="23" t="str">
        <v>Sarah Gibbs</v>
      </c>
      <c r="F183" s="23" t="s">
        <v>33</v>
      </c>
      <c r="G183" s="24">
        <v>9292.5</v>
      </c>
      <c r="H183" s="23" t="s">
        <v>15</v>
      </c>
      <c r="I183" s="24">
        <v>15000</v>
      </c>
      <c r="J183" s="24">
        <f t="shared" si="2"/>
        <v>0</v>
      </c>
      <c r="K183" s="25">
        <f>'Copy of All Sales'!$G183-'Copy of All Sales'!$I183</f>
        <v>-5707.5</v>
      </c>
    </row>
    <row r="184" spans="1:11" x14ac:dyDescent="0.25">
      <c r="A184" s="18">
        <v>44501</v>
      </c>
      <c r="B184" s="19" t="s">
        <v>60</v>
      </c>
      <c r="C184" s="19" t="s">
        <v>61</v>
      </c>
      <c r="D184" s="19" t="s">
        <v>59</v>
      </c>
      <c r="E184" s="19" t="str">
        <v>David Wilkinson</v>
      </c>
      <c r="F184" s="19" t="s">
        <v>33</v>
      </c>
      <c r="G184" s="20">
        <v>28761.599999999999</v>
      </c>
      <c r="H184" s="19" t="s">
        <v>43</v>
      </c>
      <c r="I184" s="20">
        <v>15000</v>
      </c>
      <c r="J184" s="20">
        <f t="shared" si="2"/>
        <v>2876.16</v>
      </c>
      <c r="K184" s="21">
        <f>'Copy of All Sales'!$G184-'Copy of All Sales'!$I184</f>
        <v>13761.599999999999</v>
      </c>
    </row>
    <row r="185" spans="1:11" x14ac:dyDescent="0.25">
      <c r="A185" s="22">
        <v>44501</v>
      </c>
      <c r="B185" s="23" t="s">
        <v>41</v>
      </c>
      <c r="C185" s="23" t="s">
        <v>42</v>
      </c>
      <c r="D185" s="23" t="s">
        <v>40</v>
      </c>
      <c r="E185" s="23" t="str">
        <v>Jonah Seitz</v>
      </c>
      <c r="F185" s="23" t="s">
        <v>33</v>
      </c>
      <c r="G185" s="24">
        <v>41932.799999999996</v>
      </c>
      <c r="H185" s="23" t="s">
        <v>11</v>
      </c>
      <c r="I185" s="24">
        <v>15000</v>
      </c>
      <c r="J185" s="24">
        <f t="shared" si="2"/>
        <v>4193.28</v>
      </c>
      <c r="K185" s="25">
        <f>'Copy of All Sales'!$G185-'Copy of All Sales'!$I185</f>
        <v>26932.799999999996</v>
      </c>
    </row>
    <row r="186" spans="1:11" x14ac:dyDescent="0.25">
      <c r="A186" s="18">
        <v>44501</v>
      </c>
      <c r="B186" s="19" t="s">
        <v>31</v>
      </c>
      <c r="C186" s="19" t="s">
        <v>32</v>
      </c>
      <c r="D186" s="19" t="s">
        <v>30</v>
      </c>
      <c r="E186" s="19" t="str">
        <v>Chloe Fusaro</v>
      </c>
      <c r="F186" s="19" t="s">
        <v>33</v>
      </c>
      <c r="G186" s="20">
        <v>42427</v>
      </c>
      <c r="H186" s="19" t="s">
        <v>15</v>
      </c>
      <c r="I186" s="20">
        <v>15000</v>
      </c>
      <c r="J186" s="20">
        <f t="shared" si="2"/>
        <v>4242.7</v>
      </c>
      <c r="K186" s="21">
        <f>'Copy of All Sales'!$G186-'Copy of All Sales'!$I186</f>
        <v>27427</v>
      </c>
    </row>
    <row r="187" spans="1:11" x14ac:dyDescent="0.25">
      <c r="A187" s="22">
        <v>44501</v>
      </c>
      <c r="B187" s="23" t="s">
        <v>72</v>
      </c>
      <c r="C187" s="23" t="s">
        <v>73</v>
      </c>
      <c r="D187" s="23" t="s">
        <v>71</v>
      </c>
      <c r="E187" s="23" t="str">
        <v>Sarah Gibbs</v>
      </c>
      <c r="F187" s="23" t="s">
        <v>33</v>
      </c>
      <c r="G187" s="24">
        <v>47510.400000000001</v>
      </c>
      <c r="H187" s="23" t="s">
        <v>15</v>
      </c>
      <c r="I187" s="24">
        <v>15000</v>
      </c>
      <c r="J187" s="24">
        <f t="shared" si="2"/>
        <v>4751.04</v>
      </c>
      <c r="K187" s="25">
        <f>'Copy of All Sales'!$G187-'Copy of All Sales'!$I187</f>
        <v>32510.400000000001</v>
      </c>
    </row>
    <row r="188" spans="1:11" x14ac:dyDescent="0.25">
      <c r="A188" s="18">
        <v>44531</v>
      </c>
      <c r="B188" s="19" t="s">
        <v>60</v>
      </c>
      <c r="C188" s="19" t="s">
        <v>61</v>
      </c>
      <c r="D188" s="19" t="s">
        <v>59</v>
      </c>
      <c r="E188" s="19" t="str">
        <v>David Wilkinson</v>
      </c>
      <c r="F188" s="19" t="s">
        <v>33</v>
      </c>
      <c r="G188" s="20">
        <v>7721.5999999999995</v>
      </c>
      <c r="H188" s="19" t="s">
        <v>11</v>
      </c>
      <c r="I188" s="20">
        <v>15000</v>
      </c>
      <c r="J188" s="20">
        <f t="shared" si="2"/>
        <v>0</v>
      </c>
      <c r="K188" s="21">
        <f>'Copy of All Sales'!$G188-'Copy of All Sales'!$I188</f>
        <v>-7278.4000000000005</v>
      </c>
    </row>
    <row r="189" spans="1:11" x14ac:dyDescent="0.25">
      <c r="A189" s="22">
        <v>44531</v>
      </c>
      <c r="B189" s="23" t="s">
        <v>41</v>
      </c>
      <c r="C189" s="23" t="s">
        <v>42</v>
      </c>
      <c r="D189" s="23" t="s">
        <v>40</v>
      </c>
      <c r="E189" s="23" t="str">
        <v>Jonah Seitz</v>
      </c>
      <c r="F189" s="23" t="s">
        <v>33</v>
      </c>
      <c r="G189" s="24">
        <v>8925.7000000000007</v>
      </c>
      <c r="H189" s="23" t="s">
        <v>11</v>
      </c>
      <c r="I189" s="24">
        <v>15000</v>
      </c>
      <c r="J189" s="24">
        <f t="shared" si="2"/>
        <v>0</v>
      </c>
      <c r="K189" s="25">
        <f>'Copy of All Sales'!$G189-'Copy of All Sales'!$I189</f>
        <v>-6074.2999999999993</v>
      </c>
    </row>
    <row r="190" spans="1:11" x14ac:dyDescent="0.25">
      <c r="A190" s="18">
        <v>44531</v>
      </c>
      <c r="B190" s="19" t="s">
        <v>41</v>
      </c>
      <c r="C190" s="19" t="s">
        <v>42</v>
      </c>
      <c r="D190" s="19" t="s">
        <v>40</v>
      </c>
      <c r="E190" s="19" t="str">
        <v>Jonah Seitz</v>
      </c>
      <c r="F190" s="19" t="s">
        <v>33</v>
      </c>
      <c r="G190" s="20">
        <v>15802.6</v>
      </c>
      <c r="H190" s="19" t="s">
        <v>43</v>
      </c>
      <c r="I190" s="20">
        <v>15000</v>
      </c>
      <c r="J190" s="20">
        <f t="shared" si="2"/>
        <v>1580.2600000000002</v>
      </c>
      <c r="K190" s="21">
        <f>'Copy of All Sales'!$G190-'Copy of All Sales'!$I190</f>
        <v>802.60000000000036</v>
      </c>
    </row>
    <row r="191" spans="1:11" x14ac:dyDescent="0.25">
      <c r="A191" s="22">
        <v>44531</v>
      </c>
      <c r="B191" s="23" t="s">
        <v>72</v>
      </c>
      <c r="C191" s="23" t="s">
        <v>73</v>
      </c>
      <c r="D191" s="23" t="s">
        <v>71</v>
      </c>
      <c r="E191" s="23" t="str">
        <v>Sarah Gibbs</v>
      </c>
      <c r="F191" s="23" t="s">
        <v>33</v>
      </c>
      <c r="G191" s="24">
        <v>21103.3</v>
      </c>
      <c r="H191" s="23" t="s">
        <v>43</v>
      </c>
      <c r="I191" s="24">
        <v>15000</v>
      </c>
      <c r="J191" s="24">
        <f t="shared" si="2"/>
        <v>2110.33</v>
      </c>
      <c r="K191" s="25">
        <f>'Copy of All Sales'!$G191-'Copy of All Sales'!$I191</f>
        <v>6103.2999999999993</v>
      </c>
    </row>
    <row r="192" spans="1:11" x14ac:dyDescent="0.25">
      <c r="A192" s="18">
        <v>44531</v>
      </c>
      <c r="B192" s="19" t="s">
        <v>72</v>
      </c>
      <c r="C192" s="19" t="s">
        <v>73</v>
      </c>
      <c r="D192" s="19" t="s">
        <v>71</v>
      </c>
      <c r="E192" s="19" t="str">
        <v>Sarah Gibbs</v>
      </c>
      <c r="F192" s="19" t="s">
        <v>33</v>
      </c>
      <c r="G192" s="20">
        <v>22351.100000000002</v>
      </c>
      <c r="H192" s="19" t="s">
        <v>43</v>
      </c>
      <c r="I192" s="20">
        <v>15000</v>
      </c>
      <c r="J192" s="20">
        <f t="shared" si="2"/>
        <v>2235.11</v>
      </c>
      <c r="K192" s="21">
        <f>'Copy of All Sales'!$G192-'Copy of All Sales'!$I192</f>
        <v>7351.1000000000022</v>
      </c>
    </row>
    <row r="193" spans="1:11" x14ac:dyDescent="0.25">
      <c r="A193" s="22">
        <v>44531</v>
      </c>
      <c r="B193" s="23" t="s">
        <v>41</v>
      </c>
      <c r="C193" s="23" t="s">
        <v>42</v>
      </c>
      <c r="D193" s="23" t="s">
        <v>40</v>
      </c>
      <c r="E193" s="23" t="str">
        <v>Jonah Seitz</v>
      </c>
      <c r="F193" s="23" t="s">
        <v>33</v>
      </c>
      <c r="G193" s="24">
        <v>43974</v>
      </c>
      <c r="H193" s="23" t="s">
        <v>11</v>
      </c>
      <c r="I193" s="24">
        <v>15000</v>
      </c>
      <c r="J193" s="24">
        <f t="shared" si="2"/>
        <v>4397.4000000000005</v>
      </c>
      <c r="K193" s="25">
        <f>'Copy of All Sales'!$G193-'Copy of All Sales'!$I193</f>
        <v>28974</v>
      </c>
    </row>
    <row r="194" spans="1:11" x14ac:dyDescent="0.25">
      <c r="A194" s="18">
        <v>44197</v>
      </c>
      <c r="B194" s="19" t="s">
        <v>24</v>
      </c>
      <c r="C194" s="19" t="s">
        <v>25</v>
      </c>
      <c r="D194" s="19" t="s">
        <v>23</v>
      </c>
      <c r="E194" s="19" t="str">
        <v>Olivia Cheung</v>
      </c>
      <c r="F194" s="19" t="s">
        <v>26</v>
      </c>
      <c r="G194" s="20">
        <v>3008.3999999999996</v>
      </c>
      <c r="H194" s="19" t="s">
        <v>15</v>
      </c>
      <c r="I194" s="20">
        <v>15000</v>
      </c>
      <c r="J194" s="20">
        <f t="shared" ref="J194:J257" si="3">IF(G194&gt;=I194,G194*$M$2,0)</f>
        <v>0</v>
      </c>
      <c r="K194" s="21">
        <f>'Copy of All Sales'!$G194-'Copy of All Sales'!$I194</f>
        <v>-11991.6</v>
      </c>
    </row>
    <row r="195" spans="1:11" x14ac:dyDescent="0.25">
      <c r="A195" s="22">
        <v>44197</v>
      </c>
      <c r="B195" s="23" t="s">
        <v>51</v>
      </c>
      <c r="C195" s="23" t="s">
        <v>52</v>
      </c>
      <c r="D195" s="23" t="s">
        <v>50</v>
      </c>
      <c r="E195" s="23" t="str">
        <v>Jason Jackaki</v>
      </c>
      <c r="F195" s="23" t="s">
        <v>26</v>
      </c>
      <c r="G195" s="24">
        <v>7221.5999999999995</v>
      </c>
      <c r="H195" s="23" t="s">
        <v>43</v>
      </c>
      <c r="I195" s="24">
        <v>15000</v>
      </c>
      <c r="J195" s="24">
        <f t="shared" si="3"/>
        <v>0</v>
      </c>
      <c r="K195" s="25">
        <f>'Copy of All Sales'!$G195-'Copy of All Sales'!$I195</f>
        <v>-7778.4000000000005</v>
      </c>
    </row>
    <row r="196" spans="1:11" x14ac:dyDescent="0.25">
      <c r="A196" s="18">
        <v>44197</v>
      </c>
      <c r="B196" s="19" t="s">
        <v>24</v>
      </c>
      <c r="C196" s="19" t="s">
        <v>25</v>
      </c>
      <c r="D196" s="19" t="s">
        <v>23</v>
      </c>
      <c r="E196" s="19" t="str">
        <v>Olivia Cheung</v>
      </c>
      <c r="F196" s="19" t="s">
        <v>26</v>
      </c>
      <c r="G196" s="20">
        <v>10903.199999999999</v>
      </c>
      <c r="H196" s="19" t="s">
        <v>15</v>
      </c>
      <c r="I196" s="20">
        <v>15000</v>
      </c>
      <c r="J196" s="20">
        <f t="shared" si="3"/>
        <v>0</v>
      </c>
      <c r="K196" s="21">
        <f>'Copy of All Sales'!$G196-'Copy of All Sales'!$I196</f>
        <v>-4096.8000000000011</v>
      </c>
    </row>
    <row r="197" spans="1:11" x14ac:dyDescent="0.25">
      <c r="A197" s="22">
        <v>44197</v>
      </c>
      <c r="B197" s="23" t="s">
        <v>35</v>
      </c>
      <c r="C197" s="23" t="s">
        <v>36</v>
      </c>
      <c r="D197" s="23" t="s">
        <v>34</v>
      </c>
      <c r="E197" s="23" t="str">
        <v>Annabel Mettick</v>
      </c>
      <c r="F197" s="23" t="s">
        <v>26</v>
      </c>
      <c r="G197" s="24">
        <v>14616</v>
      </c>
      <c r="H197" s="23" t="s">
        <v>15</v>
      </c>
      <c r="I197" s="24">
        <v>15000</v>
      </c>
      <c r="J197" s="24">
        <f t="shared" si="3"/>
        <v>0</v>
      </c>
      <c r="K197" s="25">
        <f>'Copy of All Sales'!$G197-'Copy of All Sales'!$I197</f>
        <v>-384</v>
      </c>
    </row>
    <row r="198" spans="1:11" x14ac:dyDescent="0.25">
      <c r="A198" s="18">
        <v>44197</v>
      </c>
      <c r="B198" s="19" t="s">
        <v>48</v>
      </c>
      <c r="C198" s="19" t="s">
        <v>49</v>
      </c>
      <c r="D198" s="19" t="s">
        <v>47</v>
      </c>
      <c r="E198" s="19" t="str">
        <v>Emily Whelan</v>
      </c>
      <c r="F198" s="19" t="s">
        <v>26</v>
      </c>
      <c r="G198" s="20">
        <v>18885.900000000001</v>
      </c>
      <c r="H198" s="19" t="s">
        <v>43</v>
      </c>
      <c r="I198" s="20">
        <v>15000</v>
      </c>
      <c r="J198" s="20">
        <f t="shared" si="3"/>
        <v>1888.5900000000001</v>
      </c>
      <c r="K198" s="21">
        <f>'Copy of All Sales'!$G198-'Copy of All Sales'!$I198</f>
        <v>3885.9000000000015</v>
      </c>
    </row>
    <row r="199" spans="1:11" x14ac:dyDescent="0.25">
      <c r="A199" s="22">
        <v>44197</v>
      </c>
      <c r="B199" s="23" t="s">
        <v>48</v>
      </c>
      <c r="C199" s="23" t="s">
        <v>49</v>
      </c>
      <c r="D199" s="23" t="s">
        <v>47</v>
      </c>
      <c r="E199" s="23" t="str">
        <v>Emily Whelan</v>
      </c>
      <c r="F199" s="23" t="s">
        <v>26</v>
      </c>
      <c r="G199" s="24">
        <v>24236</v>
      </c>
      <c r="H199" s="23" t="s">
        <v>11</v>
      </c>
      <c r="I199" s="24">
        <v>15000</v>
      </c>
      <c r="J199" s="24">
        <f t="shared" si="3"/>
        <v>2423.6</v>
      </c>
      <c r="K199" s="25">
        <f>'Copy of All Sales'!$G199-'Copy of All Sales'!$I199</f>
        <v>9236</v>
      </c>
    </row>
    <row r="200" spans="1:11" x14ac:dyDescent="0.25">
      <c r="A200" s="18">
        <v>44228</v>
      </c>
      <c r="B200" s="19" t="s">
        <v>35</v>
      </c>
      <c r="C200" s="19" t="s">
        <v>36</v>
      </c>
      <c r="D200" s="19" t="s">
        <v>34</v>
      </c>
      <c r="E200" s="19" t="str">
        <v>Annabel Mettick</v>
      </c>
      <c r="F200" s="19" t="s">
        <v>26</v>
      </c>
      <c r="G200" s="20">
        <v>3596</v>
      </c>
      <c r="H200" s="19" t="s">
        <v>15</v>
      </c>
      <c r="I200" s="20">
        <v>15000</v>
      </c>
      <c r="J200" s="20">
        <f t="shared" si="3"/>
        <v>0</v>
      </c>
      <c r="K200" s="21">
        <f>'Copy of All Sales'!$G200-'Copy of All Sales'!$I200</f>
        <v>-11404</v>
      </c>
    </row>
    <row r="201" spans="1:11" x14ac:dyDescent="0.25">
      <c r="A201" s="22">
        <v>44228</v>
      </c>
      <c r="B201" s="23" t="s">
        <v>57</v>
      </c>
      <c r="C201" s="23" t="s">
        <v>58</v>
      </c>
      <c r="D201" s="23" t="s">
        <v>56</v>
      </c>
      <c r="E201" s="23" t="str">
        <v>Cory Goodwin</v>
      </c>
      <c r="F201" s="23" t="s">
        <v>26</v>
      </c>
      <c r="G201" s="24">
        <v>6300</v>
      </c>
      <c r="H201" s="23" t="s">
        <v>43</v>
      </c>
      <c r="I201" s="24">
        <v>15000</v>
      </c>
      <c r="J201" s="24">
        <f t="shared" si="3"/>
        <v>0</v>
      </c>
      <c r="K201" s="25">
        <f>'Copy of All Sales'!$G201-'Copy of All Sales'!$I201</f>
        <v>-8700</v>
      </c>
    </row>
    <row r="202" spans="1:11" x14ac:dyDescent="0.25">
      <c r="A202" s="18">
        <v>44228</v>
      </c>
      <c r="B202" s="19" t="s">
        <v>35</v>
      </c>
      <c r="C202" s="19" t="s">
        <v>36</v>
      </c>
      <c r="D202" s="19" t="s">
        <v>34</v>
      </c>
      <c r="E202" s="19" t="str">
        <v>Annabel Mettick</v>
      </c>
      <c r="F202" s="19" t="s">
        <v>26</v>
      </c>
      <c r="G202" s="20">
        <v>6804</v>
      </c>
      <c r="H202" s="19" t="s">
        <v>11</v>
      </c>
      <c r="I202" s="20">
        <v>15000</v>
      </c>
      <c r="J202" s="20">
        <f t="shared" si="3"/>
        <v>0</v>
      </c>
      <c r="K202" s="21">
        <f>'Copy of All Sales'!$G202-'Copy of All Sales'!$I202</f>
        <v>-8196</v>
      </c>
    </row>
    <row r="203" spans="1:11" x14ac:dyDescent="0.25">
      <c r="A203" s="22">
        <v>44228</v>
      </c>
      <c r="B203" s="23" t="s">
        <v>51</v>
      </c>
      <c r="C203" s="23" t="s">
        <v>52</v>
      </c>
      <c r="D203" s="23" t="s">
        <v>50</v>
      </c>
      <c r="E203" s="23" t="str">
        <v>Jason Jackaki</v>
      </c>
      <c r="F203" s="23" t="s">
        <v>26</v>
      </c>
      <c r="G203" s="24">
        <v>8524.4000000000015</v>
      </c>
      <c r="H203" s="23" t="s">
        <v>43</v>
      </c>
      <c r="I203" s="24">
        <v>15000</v>
      </c>
      <c r="J203" s="24">
        <f t="shared" si="3"/>
        <v>0</v>
      </c>
      <c r="K203" s="25">
        <f>'Copy of All Sales'!$G203-'Copy of All Sales'!$I203</f>
        <v>-6475.5999999999985</v>
      </c>
    </row>
    <row r="204" spans="1:11" x14ac:dyDescent="0.25">
      <c r="A204" s="18">
        <v>44228</v>
      </c>
      <c r="B204" s="19" t="s">
        <v>35</v>
      </c>
      <c r="C204" s="19" t="s">
        <v>36</v>
      </c>
      <c r="D204" s="19" t="s">
        <v>34</v>
      </c>
      <c r="E204" s="19" t="str">
        <v>Annabel Mettick</v>
      </c>
      <c r="F204" s="19" t="s">
        <v>26</v>
      </c>
      <c r="G204" s="20">
        <v>8772</v>
      </c>
      <c r="H204" s="19" t="s">
        <v>43</v>
      </c>
      <c r="I204" s="20">
        <v>15000</v>
      </c>
      <c r="J204" s="20">
        <f t="shared" si="3"/>
        <v>0</v>
      </c>
      <c r="K204" s="21">
        <f>'Copy of All Sales'!$G204-'Copy of All Sales'!$I204</f>
        <v>-6228</v>
      </c>
    </row>
    <row r="205" spans="1:11" x14ac:dyDescent="0.25">
      <c r="A205" s="22">
        <v>44228</v>
      </c>
      <c r="B205" s="23" t="s">
        <v>35</v>
      </c>
      <c r="C205" s="23" t="s">
        <v>36</v>
      </c>
      <c r="D205" s="23" t="s">
        <v>34</v>
      </c>
      <c r="E205" s="23" t="str">
        <v>Annabel Mettick</v>
      </c>
      <c r="F205" s="23" t="s">
        <v>26</v>
      </c>
      <c r="G205" s="24">
        <v>17328.300000000003</v>
      </c>
      <c r="H205" s="23" t="s">
        <v>43</v>
      </c>
      <c r="I205" s="24">
        <v>15000</v>
      </c>
      <c r="J205" s="24">
        <f t="shared" si="3"/>
        <v>1732.8300000000004</v>
      </c>
      <c r="K205" s="25">
        <f>'Copy of All Sales'!$G205-'Copy of All Sales'!$I205</f>
        <v>2328.3000000000029</v>
      </c>
    </row>
    <row r="206" spans="1:11" x14ac:dyDescent="0.25">
      <c r="A206" s="18">
        <v>44228</v>
      </c>
      <c r="B206" s="19" t="s">
        <v>57</v>
      </c>
      <c r="C206" s="19" t="s">
        <v>58</v>
      </c>
      <c r="D206" s="19" t="s">
        <v>56</v>
      </c>
      <c r="E206" s="19" t="str">
        <v>Cory Goodwin</v>
      </c>
      <c r="F206" s="19" t="s">
        <v>26</v>
      </c>
      <c r="G206" s="20">
        <v>21438.899999999998</v>
      </c>
      <c r="H206" s="19" t="s">
        <v>11</v>
      </c>
      <c r="I206" s="20">
        <v>15000</v>
      </c>
      <c r="J206" s="20">
        <f t="shared" si="3"/>
        <v>2143.89</v>
      </c>
      <c r="K206" s="21">
        <f>'Copy of All Sales'!$G206-'Copy of All Sales'!$I206</f>
        <v>6438.8999999999978</v>
      </c>
    </row>
    <row r="207" spans="1:11" x14ac:dyDescent="0.25">
      <c r="A207" s="22">
        <v>44228</v>
      </c>
      <c r="B207" s="23" t="s">
        <v>51</v>
      </c>
      <c r="C207" s="23" t="s">
        <v>52</v>
      </c>
      <c r="D207" s="23" t="s">
        <v>50</v>
      </c>
      <c r="E207" s="23" t="str">
        <v>Jason Jackaki</v>
      </c>
      <c r="F207" s="23" t="s">
        <v>26</v>
      </c>
      <c r="G207" s="24">
        <v>26556.799999999999</v>
      </c>
      <c r="H207" s="23" t="s">
        <v>15</v>
      </c>
      <c r="I207" s="24">
        <v>15000</v>
      </c>
      <c r="J207" s="24">
        <f t="shared" si="3"/>
        <v>2655.6800000000003</v>
      </c>
      <c r="K207" s="25">
        <f>'Copy of All Sales'!$G207-'Copy of All Sales'!$I207</f>
        <v>11556.8</v>
      </c>
    </row>
    <row r="208" spans="1:11" x14ac:dyDescent="0.25">
      <c r="A208" s="18">
        <v>44228</v>
      </c>
      <c r="B208" s="19" t="s">
        <v>51</v>
      </c>
      <c r="C208" s="19" t="s">
        <v>52</v>
      </c>
      <c r="D208" s="19" t="s">
        <v>50</v>
      </c>
      <c r="E208" s="19" t="str">
        <v>Jason Jackaki</v>
      </c>
      <c r="F208" s="19" t="s">
        <v>26</v>
      </c>
      <c r="G208" s="20">
        <v>33132.600000000006</v>
      </c>
      <c r="H208" s="19" t="s">
        <v>43</v>
      </c>
      <c r="I208" s="20">
        <v>15000</v>
      </c>
      <c r="J208" s="20">
        <f t="shared" si="3"/>
        <v>3313.2600000000007</v>
      </c>
      <c r="K208" s="21">
        <f>'Copy of All Sales'!$G208-'Copy of All Sales'!$I208</f>
        <v>18132.600000000006</v>
      </c>
    </row>
    <row r="209" spans="1:11" x14ac:dyDescent="0.25">
      <c r="A209" s="22">
        <v>44256</v>
      </c>
      <c r="B209" s="23" t="s">
        <v>35</v>
      </c>
      <c r="C209" s="23" t="s">
        <v>36</v>
      </c>
      <c r="D209" s="23" t="s">
        <v>34</v>
      </c>
      <c r="E209" s="23" t="str">
        <v>Annabel Mettick</v>
      </c>
      <c r="F209" s="23" t="s">
        <v>26</v>
      </c>
      <c r="G209" s="24">
        <v>6544.8</v>
      </c>
      <c r="H209" s="23" t="s">
        <v>11</v>
      </c>
      <c r="I209" s="24">
        <v>15000</v>
      </c>
      <c r="J209" s="24">
        <f t="shared" si="3"/>
        <v>0</v>
      </c>
      <c r="K209" s="25">
        <f>'Copy of All Sales'!$G209-'Copy of All Sales'!$I209</f>
        <v>-8455.2000000000007</v>
      </c>
    </row>
    <row r="210" spans="1:11" x14ac:dyDescent="0.25">
      <c r="A210" s="18">
        <v>44256</v>
      </c>
      <c r="B210" s="19" t="s">
        <v>51</v>
      </c>
      <c r="C210" s="19" t="s">
        <v>52</v>
      </c>
      <c r="D210" s="19" t="s">
        <v>50</v>
      </c>
      <c r="E210" s="19" t="str">
        <v>Jason Jackaki</v>
      </c>
      <c r="F210" s="19" t="s">
        <v>26</v>
      </c>
      <c r="G210" s="20">
        <v>11166.300000000001</v>
      </c>
      <c r="H210" s="19" t="s">
        <v>15</v>
      </c>
      <c r="I210" s="20">
        <v>15000</v>
      </c>
      <c r="J210" s="20">
        <f t="shared" si="3"/>
        <v>0</v>
      </c>
      <c r="K210" s="21">
        <f>'Copy of All Sales'!$G210-'Copy of All Sales'!$I210</f>
        <v>-3833.6999999999989</v>
      </c>
    </row>
    <row r="211" spans="1:11" x14ac:dyDescent="0.25">
      <c r="A211" s="22">
        <v>44256</v>
      </c>
      <c r="B211" s="23" t="s">
        <v>35</v>
      </c>
      <c r="C211" s="23" t="s">
        <v>36</v>
      </c>
      <c r="D211" s="23" t="s">
        <v>34</v>
      </c>
      <c r="E211" s="23" t="str">
        <v>Annabel Mettick</v>
      </c>
      <c r="F211" s="23" t="s">
        <v>26</v>
      </c>
      <c r="G211" s="24">
        <v>11403</v>
      </c>
      <c r="H211" s="23" t="s">
        <v>15</v>
      </c>
      <c r="I211" s="24">
        <v>15000</v>
      </c>
      <c r="J211" s="24">
        <f t="shared" si="3"/>
        <v>0</v>
      </c>
      <c r="K211" s="25">
        <f>'Copy of All Sales'!$G211-'Copy of All Sales'!$I211</f>
        <v>-3597</v>
      </c>
    </row>
    <row r="212" spans="1:11" x14ac:dyDescent="0.25">
      <c r="A212" s="18">
        <v>44256</v>
      </c>
      <c r="B212" s="19" t="s">
        <v>35</v>
      </c>
      <c r="C212" s="19" t="s">
        <v>36</v>
      </c>
      <c r="D212" s="19" t="s">
        <v>34</v>
      </c>
      <c r="E212" s="19" t="str">
        <v>Annabel Mettick</v>
      </c>
      <c r="F212" s="19" t="s">
        <v>26</v>
      </c>
      <c r="G212" s="20">
        <v>11554.400000000001</v>
      </c>
      <c r="H212" s="19" t="s">
        <v>15</v>
      </c>
      <c r="I212" s="20">
        <v>15000</v>
      </c>
      <c r="J212" s="20">
        <f t="shared" si="3"/>
        <v>0</v>
      </c>
      <c r="K212" s="21">
        <f>'Copy of All Sales'!$G212-'Copy of All Sales'!$I212</f>
        <v>-3445.5999999999985</v>
      </c>
    </row>
    <row r="213" spans="1:11" x14ac:dyDescent="0.25">
      <c r="A213" s="22">
        <v>44256</v>
      </c>
      <c r="B213" s="23" t="s">
        <v>24</v>
      </c>
      <c r="C213" s="23" t="s">
        <v>25</v>
      </c>
      <c r="D213" s="23" t="s">
        <v>23</v>
      </c>
      <c r="E213" s="23" t="str">
        <v>Olivia Cheung</v>
      </c>
      <c r="F213" s="23" t="s">
        <v>26</v>
      </c>
      <c r="G213" s="24">
        <v>12143.999999999998</v>
      </c>
      <c r="H213" s="23" t="s">
        <v>15</v>
      </c>
      <c r="I213" s="24">
        <v>15000</v>
      </c>
      <c r="J213" s="24">
        <f t="shared" si="3"/>
        <v>0</v>
      </c>
      <c r="K213" s="25">
        <f>'Copy of All Sales'!$G213-'Copy of All Sales'!$I213</f>
        <v>-2856.0000000000018</v>
      </c>
    </row>
    <row r="214" spans="1:11" x14ac:dyDescent="0.25">
      <c r="A214" s="18">
        <v>44256</v>
      </c>
      <c r="B214" s="19" t="s">
        <v>24</v>
      </c>
      <c r="C214" s="19" t="s">
        <v>25</v>
      </c>
      <c r="D214" s="19" t="s">
        <v>23</v>
      </c>
      <c r="E214" s="19" t="str">
        <v>Olivia Cheung</v>
      </c>
      <c r="F214" s="19" t="s">
        <v>26</v>
      </c>
      <c r="G214" s="20">
        <v>13244.7</v>
      </c>
      <c r="H214" s="19" t="s">
        <v>11</v>
      </c>
      <c r="I214" s="20">
        <v>15000</v>
      </c>
      <c r="J214" s="20">
        <f t="shared" si="3"/>
        <v>0</v>
      </c>
      <c r="K214" s="21">
        <f>'Copy of All Sales'!$G214-'Copy of All Sales'!$I214</f>
        <v>-1755.2999999999993</v>
      </c>
    </row>
    <row r="215" spans="1:11" x14ac:dyDescent="0.25">
      <c r="A215" s="22">
        <v>44256</v>
      </c>
      <c r="B215" s="23" t="s">
        <v>48</v>
      </c>
      <c r="C215" s="23" t="s">
        <v>49</v>
      </c>
      <c r="D215" s="23" t="s">
        <v>47</v>
      </c>
      <c r="E215" s="23" t="str">
        <v>Emily Whelan</v>
      </c>
      <c r="F215" s="23" t="s">
        <v>26</v>
      </c>
      <c r="G215" s="24">
        <v>23014.400000000001</v>
      </c>
      <c r="H215" s="23" t="s">
        <v>11</v>
      </c>
      <c r="I215" s="24">
        <v>15000</v>
      </c>
      <c r="J215" s="24">
        <f t="shared" si="3"/>
        <v>2301.44</v>
      </c>
      <c r="K215" s="25">
        <f>'Copy of All Sales'!$G215-'Copy of All Sales'!$I215</f>
        <v>8014.4000000000015</v>
      </c>
    </row>
    <row r="216" spans="1:11" x14ac:dyDescent="0.25">
      <c r="A216" s="18">
        <v>44256</v>
      </c>
      <c r="B216" s="19" t="s">
        <v>24</v>
      </c>
      <c r="C216" s="19" t="s">
        <v>25</v>
      </c>
      <c r="D216" s="19" t="s">
        <v>23</v>
      </c>
      <c r="E216" s="19" t="str">
        <v>Olivia Cheung</v>
      </c>
      <c r="F216" s="19" t="s">
        <v>26</v>
      </c>
      <c r="G216" s="20">
        <v>26200</v>
      </c>
      <c r="H216" s="19" t="s">
        <v>15</v>
      </c>
      <c r="I216" s="20">
        <v>15000</v>
      </c>
      <c r="J216" s="20">
        <f t="shared" si="3"/>
        <v>2620</v>
      </c>
      <c r="K216" s="21">
        <f>'Copy of All Sales'!$G216-'Copy of All Sales'!$I216</f>
        <v>11200</v>
      </c>
    </row>
    <row r="217" spans="1:11" x14ac:dyDescent="0.25">
      <c r="A217" s="22">
        <v>44256</v>
      </c>
      <c r="B217" s="23" t="s">
        <v>51</v>
      </c>
      <c r="C217" s="23" t="s">
        <v>52</v>
      </c>
      <c r="D217" s="23" t="s">
        <v>50</v>
      </c>
      <c r="E217" s="23" t="str">
        <v>Jason Jackaki</v>
      </c>
      <c r="F217" s="23" t="s">
        <v>26</v>
      </c>
      <c r="G217" s="24">
        <v>28286.399999999998</v>
      </c>
      <c r="H217" s="23" t="s">
        <v>11</v>
      </c>
      <c r="I217" s="24">
        <v>15000</v>
      </c>
      <c r="J217" s="24">
        <f t="shared" si="3"/>
        <v>2828.64</v>
      </c>
      <c r="K217" s="25">
        <f>'Copy of All Sales'!$G217-'Copy of All Sales'!$I217</f>
        <v>13286.399999999998</v>
      </c>
    </row>
    <row r="218" spans="1:11" x14ac:dyDescent="0.25">
      <c r="A218" s="18">
        <v>44256</v>
      </c>
      <c r="B218" s="19" t="s">
        <v>24</v>
      </c>
      <c r="C218" s="19" t="s">
        <v>25</v>
      </c>
      <c r="D218" s="19" t="s">
        <v>23</v>
      </c>
      <c r="E218" s="19" t="str">
        <v>Olivia Cheung</v>
      </c>
      <c r="F218" s="19" t="s">
        <v>26</v>
      </c>
      <c r="G218" s="20">
        <v>35715.4</v>
      </c>
      <c r="H218" s="19" t="s">
        <v>15</v>
      </c>
      <c r="I218" s="20">
        <v>15000</v>
      </c>
      <c r="J218" s="20">
        <f t="shared" si="3"/>
        <v>3571.5400000000004</v>
      </c>
      <c r="K218" s="21">
        <f>'Copy of All Sales'!$G218-'Copy of All Sales'!$I218</f>
        <v>20715.400000000001</v>
      </c>
    </row>
    <row r="219" spans="1:11" x14ac:dyDescent="0.25">
      <c r="A219" s="22">
        <v>44287</v>
      </c>
      <c r="B219" s="23" t="s">
        <v>57</v>
      </c>
      <c r="C219" s="23" t="s">
        <v>58</v>
      </c>
      <c r="D219" s="23" t="s">
        <v>56</v>
      </c>
      <c r="E219" s="23" t="str">
        <v>Cory Goodwin</v>
      </c>
      <c r="F219" s="23" t="s">
        <v>26</v>
      </c>
      <c r="G219" s="24">
        <v>6960</v>
      </c>
      <c r="H219" s="23" t="s">
        <v>43</v>
      </c>
      <c r="I219" s="24">
        <v>15000</v>
      </c>
      <c r="J219" s="24">
        <f t="shared" si="3"/>
        <v>0</v>
      </c>
      <c r="K219" s="25">
        <f>'Copy of All Sales'!$G219-'Copy of All Sales'!$I219</f>
        <v>-8040</v>
      </c>
    </row>
    <row r="220" spans="1:11" x14ac:dyDescent="0.25">
      <c r="A220" s="18">
        <v>44287</v>
      </c>
      <c r="B220" s="19" t="s">
        <v>48</v>
      </c>
      <c r="C220" s="19" t="s">
        <v>49</v>
      </c>
      <c r="D220" s="19" t="s">
        <v>47</v>
      </c>
      <c r="E220" s="19" t="str">
        <v>Emily Whelan</v>
      </c>
      <c r="F220" s="19" t="s">
        <v>26</v>
      </c>
      <c r="G220" s="20">
        <v>9627.8999999999978</v>
      </c>
      <c r="H220" s="19" t="s">
        <v>11</v>
      </c>
      <c r="I220" s="20">
        <v>15000</v>
      </c>
      <c r="J220" s="20">
        <f t="shared" si="3"/>
        <v>0</v>
      </c>
      <c r="K220" s="21">
        <f>'Copy of All Sales'!$G220-'Copy of All Sales'!$I220</f>
        <v>-5372.1000000000022</v>
      </c>
    </row>
    <row r="221" spans="1:11" x14ac:dyDescent="0.25">
      <c r="A221" s="22">
        <v>44287</v>
      </c>
      <c r="B221" s="23" t="s">
        <v>35</v>
      </c>
      <c r="C221" s="23" t="s">
        <v>36</v>
      </c>
      <c r="D221" s="23" t="s">
        <v>34</v>
      </c>
      <c r="E221" s="23" t="str">
        <v>Annabel Mettick</v>
      </c>
      <c r="F221" s="23" t="s">
        <v>26</v>
      </c>
      <c r="G221" s="24">
        <v>13725.600000000002</v>
      </c>
      <c r="H221" s="23" t="s">
        <v>43</v>
      </c>
      <c r="I221" s="24">
        <v>15000</v>
      </c>
      <c r="J221" s="24">
        <f t="shared" si="3"/>
        <v>0</v>
      </c>
      <c r="K221" s="25">
        <f>'Copy of All Sales'!$G221-'Copy of All Sales'!$I221</f>
        <v>-1274.3999999999978</v>
      </c>
    </row>
    <row r="222" spans="1:11" x14ac:dyDescent="0.25">
      <c r="A222" s="18">
        <v>44287</v>
      </c>
      <c r="B222" s="19" t="s">
        <v>48</v>
      </c>
      <c r="C222" s="19" t="s">
        <v>49</v>
      </c>
      <c r="D222" s="19" t="s">
        <v>47</v>
      </c>
      <c r="E222" s="19" t="str">
        <v>Emily Whelan</v>
      </c>
      <c r="F222" s="19" t="s">
        <v>26</v>
      </c>
      <c r="G222" s="20">
        <v>15353.2</v>
      </c>
      <c r="H222" s="19" t="s">
        <v>11</v>
      </c>
      <c r="I222" s="20">
        <v>15000</v>
      </c>
      <c r="J222" s="20">
        <f t="shared" si="3"/>
        <v>1535.3200000000002</v>
      </c>
      <c r="K222" s="21">
        <f>'Copy of All Sales'!$G222-'Copy of All Sales'!$I222</f>
        <v>353.20000000000073</v>
      </c>
    </row>
    <row r="223" spans="1:11" x14ac:dyDescent="0.25">
      <c r="A223" s="22">
        <v>44287</v>
      </c>
      <c r="B223" s="23" t="s">
        <v>24</v>
      </c>
      <c r="C223" s="23" t="s">
        <v>25</v>
      </c>
      <c r="D223" s="23" t="s">
        <v>23</v>
      </c>
      <c r="E223" s="23" t="str">
        <v>Olivia Cheung</v>
      </c>
      <c r="F223" s="23" t="s">
        <v>26</v>
      </c>
      <c r="G223" s="24">
        <v>18994.5</v>
      </c>
      <c r="H223" s="23" t="s">
        <v>15</v>
      </c>
      <c r="I223" s="24">
        <v>15000</v>
      </c>
      <c r="J223" s="24">
        <f t="shared" si="3"/>
        <v>1899.45</v>
      </c>
      <c r="K223" s="25">
        <f>'Copy of All Sales'!$G223-'Copy of All Sales'!$I223</f>
        <v>3994.5</v>
      </c>
    </row>
    <row r="224" spans="1:11" x14ac:dyDescent="0.25">
      <c r="A224" s="18">
        <v>44287</v>
      </c>
      <c r="B224" s="19" t="s">
        <v>24</v>
      </c>
      <c r="C224" s="19" t="s">
        <v>25</v>
      </c>
      <c r="D224" s="19" t="s">
        <v>23</v>
      </c>
      <c r="E224" s="19" t="str">
        <v>Olivia Cheung</v>
      </c>
      <c r="F224" s="19" t="s">
        <v>26</v>
      </c>
      <c r="G224" s="20">
        <v>28628.799999999996</v>
      </c>
      <c r="H224" s="19" t="s">
        <v>43</v>
      </c>
      <c r="I224" s="20">
        <v>15000</v>
      </c>
      <c r="J224" s="20">
        <f t="shared" si="3"/>
        <v>2862.8799999999997</v>
      </c>
      <c r="K224" s="21">
        <f>'Copy of All Sales'!$G224-'Copy of All Sales'!$I224</f>
        <v>13628.799999999996</v>
      </c>
    </row>
    <row r="225" spans="1:11" x14ac:dyDescent="0.25">
      <c r="A225" s="22">
        <v>44317</v>
      </c>
      <c r="B225" s="23" t="s">
        <v>57</v>
      </c>
      <c r="C225" s="23" t="s">
        <v>58</v>
      </c>
      <c r="D225" s="23" t="s">
        <v>56</v>
      </c>
      <c r="E225" s="23" t="str">
        <v>Cory Goodwin</v>
      </c>
      <c r="F225" s="23" t="s">
        <v>26</v>
      </c>
      <c r="G225" s="24">
        <v>10948</v>
      </c>
      <c r="H225" s="23" t="s">
        <v>11</v>
      </c>
      <c r="I225" s="24">
        <v>15000</v>
      </c>
      <c r="J225" s="24">
        <f t="shared" si="3"/>
        <v>0</v>
      </c>
      <c r="K225" s="25">
        <f>'Copy of All Sales'!$G225-'Copy of All Sales'!$I225</f>
        <v>-4052</v>
      </c>
    </row>
    <row r="226" spans="1:11" x14ac:dyDescent="0.25">
      <c r="A226" s="18">
        <v>44317</v>
      </c>
      <c r="B226" s="19" t="s">
        <v>51</v>
      </c>
      <c r="C226" s="19" t="s">
        <v>52</v>
      </c>
      <c r="D226" s="19" t="s">
        <v>50</v>
      </c>
      <c r="E226" s="19" t="str">
        <v>Jason Jackaki</v>
      </c>
      <c r="F226" s="19" t="s">
        <v>26</v>
      </c>
      <c r="G226" s="20">
        <v>13044.899999999998</v>
      </c>
      <c r="H226" s="19" t="s">
        <v>11</v>
      </c>
      <c r="I226" s="20">
        <v>15000</v>
      </c>
      <c r="J226" s="20">
        <f t="shared" si="3"/>
        <v>0</v>
      </c>
      <c r="K226" s="21">
        <f>'Copy of All Sales'!$G226-'Copy of All Sales'!$I226</f>
        <v>-1955.1000000000022</v>
      </c>
    </row>
    <row r="227" spans="1:11" x14ac:dyDescent="0.25">
      <c r="A227" s="22">
        <v>44317</v>
      </c>
      <c r="B227" s="23" t="s">
        <v>48</v>
      </c>
      <c r="C227" s="23" t="s">
        <v>49</v>
      </c>
      <c r="D227" s="23" t="s">
        <v>47</v>
      </c>
      <c r="E227" s="23" t="str">
        <v>Emily Whelan</v>
      </c>
      <c r="F227" s="23" t="s">
        <v>26</v>
      </c>
      <c r="G227" s="24">
        <v>28616</v>
      </c>
      <c r="H227" s="23" t="s">
        <v>43</v>
      </c>
      <c r="I227" s="24">
        <v>15000</v>
      </c>
      <c r="J227" s="24">
        <f t="shared" si="3"/>
        <v>2861.6000000000004</v>
      </c>
      <c r="K227" s="25">
        <f>'Copy of All Sales'!$G227-'Copy of All Sales'!$I227</f>
        <v>13616</v>
      </c>
    </row>
    <row r="228" spans="1:11" x14ac:dyDescent="0.25">
      <c r="A228" s="18">
        <v>44317</v>
      </c>
      <c r="B228" s="19" t="s">
        <v>35</v>
      </c>
      <c r="C228" s="19" t="s">
        <v>36</v>
      </c>
      <c r="D228" s="19" t="s">
        <v>34</v>
      </c>
      <c r="E228" s="19" t="str">
        <v>Annabel Mettick</v>
      </c>
      <c r="F228" s="19" t="s">
        <v>26</v>
      </c>
      <c r="G228" s="20">
        <v>30377.399999999998</v>
      </c>
      <c r="H228" s="19" t="s">
        <v>43</v>
      </c>
      <c r="I228" s="20">
        <v>15000</v>
      </c>
      <c r="J228" s="20">
        <f t="shared" si="3"/>
        <v>3037.74</v>
      </c>
      <c r="K228" s="21">
        <f>'Copy of All Sales'!$G228-'Copy of All Sales'!$I228</f>
        <v>15377.399999999998</v>
      </c>
    </row>
    <row r="229" spans="1:11" x14ac:dyDescent="0.25">
      <c r="A229" s="22">
        <v>44317</v>
      </c>
      <c r="B229" s="23" t="s">
        <v>48</v>
      </c>
      <c r="C229" s="23" t="s">
        <v>49</v>
      </c>
      <c r="D229" s="23" t="s">
        <v>47</v>
      </c>
      <c r="E229" s="23" t="str">
        <v>Emily Whelan</v>
      </c>
      <c r="F229" s="23" t="s">
        <v>26</v>
      </c>
      <c r="G229" s="24">
        <v>35351</v>
      </c>
      <c r="H229" s="23" t="s">
        <v>15</v>
      </c>
      <c r="I229" s="24">
        <v>15000</v>
      </c>
      <c r="J229" s="24">
        <f t="shared" si="3"/>
        <v>3535.1000000000004</v>
      </c>
      <c r="K229" s="25">
        <f>'Copy of All Sales'!$G229-'Copy of All Sales'!$I229</f>
        <v>20351</v>
      </c>
    </row>
    <row r="230" spans="1:11" x14ac:dyDescent="0.25">
      <c r="A230" s="18">
        <v>44348</v>
      </c>
      <c r="B230" s="19" t="s">
        <v>48</v>
      </c>
      <c r="C230" s="19" t="s">
        <v>49</v>
      </c>
      <c r="D230" s="19" t="s">
        <v>47</v>
      </c>
      <c r="E230" s="19" t="str">
        <v>Emily Whelan</v>
      </c>
      <c r="F230" s="19" t="s">
        <v>26</v>
      </c>
      <c r="G230" s="20">
        <v>6872.7999999999993</v>
      </c>
      <c r="H230" s="19" t="s">
        <v>11</v>
      </c>
      <c r="I230" s="20">
        <v>15000</v>
      </c>
      <c r="J230" s="20">
        <f t="shared" si="3"/>
        <v>0</v>
      </c>
      <c r="K230" s="21">
        <f>'Copy of All Sales'!$G230-'Copy of All Sales'!$I230</f>
        <v>-8127.2000000000007</v>
      </c>
    </row>
    <row r="231" spans="1:11" x14ac:dyDescent="0.25">
      <c r="A231" s="22">
        <v>44348</v>
      </c>
      <c r="B231" s="23" t="s">
        <v>35</v>
      </c>
      <c r="C231" s="23" t="s">
        <v>36</v>
      </c>
      <c r="D231" s="23" t="s">
        <v>34</v>
      </c>
      <c r="E231" s="23" t="str">
        <v>Annabel Mettick</v>
      </c>
      <c r="F231" s="23" t="s">
        <v>26</v>
      </c>
      <c r="G231" s="24">
        <v>8827</v>
      </c>
      <c r="H231" s="23" t="s">
        <v>43</v>
      </c>
      <c r="I231" s="24">
        <v>15000</v>
      </c>
      <c r="J231" s="24">
        <f t="shared" si="3"/>
        <v>0</v>
      </c>
      <c r="K231" s="25">
        <f>'Copy of All Sales'!$G231-'Copy of All Sales'!$I231</f>
        <v>-6173</v>
      </c>
    </row>
    <row r="232" spans="1:11" x14ac:dyDescent="0.25">
      <c r="A232" s="18">
        <v>44348</v>
      </c>
      <c r="B232" s="19" t="s">
        <v>57</v>
      </c>
      <c r="C232" s="19" t="s">
        <v>58</v>
      </c>
      <c r="D232" s="19" t="s">
        <v>56</v>
      </c>
      <c r="E232" s="19" t="str">
        <v>Cory Goodwin</v>
      </c>
      <c r="F232" s="19" t="s">
        <v>26</v>
      </c>
      <c r="G232" s="20">
        <v>9836.8000000000011</v>
      </c>
      <c r="H232" s="19" t="s">
        <v>11</v>
      </c>
      <c r="I232" s="20">
        <v>15000</v>
      </c>
      <c r="J232" s="20">
        <f t="shared" si="3"/>
        <v>0</v>
      </c>
      <c r="K232" s="21">
        <f>'Copy of All Sales'!$G232-'Copy of All Sales'!$I232</f>
        <v>-5163.1999999999989</v>
      </c>
    </row>
    <row r="233" spans="1:11" x14ac:dyDescent="0.25">
      <c r="A233" s="22">
        <v>44348</v>
      </c>
      <c r="B233" s="23" t="s">
        <v>35</v>
      </c>
      <c r="C233" s="23" t="s">
        <v>36</v>
      </c>
      <c r="D233" s="23" t="s">
        <v>34</v>
      </c>
      <c r="E233" s="23" t="str">
        <v>Annabel Mettick</v>
      </c>
      <c r="F233" s="23" t="s">
        <v>26</v>
      </c>
      <c r="G233" s="24">
        <v>10032</v>
      </c>
      <c r="H233" s="23" t="s">
        <v>11</v>
      </c>
      <c r="I233" s="24">
        <v>15000</v>
      </c>
      <c r="J233" s="24">
        <f t="shared" si="3"/>
        <v>0</v>
      </c>
      <c r="K233" s="25">
        <f>'Copy of All Sales'!$G233-'Copy of All Sales'!$I233</f>
        <v>-4968</v>
      </c>
    </row>
    <row r="234" spans="1:11" x14ac:dyDescent="0.25">
      <c r="A234" s="18">
        <v>44348</v>
      </c>
      <c r="B234" s="19" t="s">
        <v>35</v>
      </c>
      <c r="C234" s="19" t="s">
        <v>36</v>
      </c>
      <c r="D234" s="19" t="s">
        <v>34</v>
      </c>
      <c r="E234" s="19" t="str">
        <v>Annabel Mettick</v>
      </c>
      <c r="F234" s="19" t="s">
        <v>26</v>
      </c>
      <c r="G234" s="20">
        <v>15953.599999999999</v>
      </c>
      <c r="H234" s="19" t="s">
        <v>15</v>
      </c>
      <c r="I234" s="20">
        <v>15000</v>
      </c>
      <c r="J234" s="20">
        <f t="shared" si="3"/>
        <v>1595.36</v>
      </c>
      <c r="K234" s="21">
        <f>'Copy of All Sales'!$G234-'Copy of All Sales'!$I234</f>
        <v>953.59999999999854</v>
      </c>
    </row>
    <row r="235" spans="1:11" x14ac:dyDescent="0.25">
      <c r="A235" s="22">
        <v>44348</v>
      </c>
      <c r="B235" s="23" t="s">
        <v>48</v>
      </c>
      <c r="C235" s="23" t="s">
        <v>49</v>
      </c>
      <c r="D235" s="23" t="s">
        <v>47</v>
      </c>
      <c r="E235" s="23" t="str">
        <v>Emily Whelan</v>
      </c>
      <c r="F235" s="23" t="s">
        <v>26</v>
      </c>
      <c r="G235" s="24">
        <v>25560</v>
      </c>
      <c r="H235" s="23" t="s">
        <v>11</v>
      </c>
      <c r="I235" s="24">
        <v>15000</v>
      </c>
      <c r="J235" s="24">
        <f t="shared" si="3"/>
        <v>2556</v>
      </c>
      <c r="K235" s="25">
        <f>'Copy of All Sales'!$G235-'Copy of All Sales'!$I235</f>
        <v>10560</v>
      </c>
    </row>
    <row r="236" spans="1:11" x14ac:dyDescent="0.25">
      <c r="A236" s="18">
        <v>44348</v>
      </c>
      <c r="B236" s="19" t="s">
        <v>35</v>
      </c>
      <c r="C236" s="19" t="s">
        <v>36</v>
      </c>
      <c r="D236" s="19" t="s">
        <v>34</v>
      </c>
      <c r="E236" s="19" t="str">
        <v>Annabel Mettick</v>
      </c>
      <c r="F236" s="19" t="s">
        <v>26</v>
      </c>
      <c r="G236" s="20">
        <v>35695</v>
      </c>
      <c r="H236" s="19" t="s">
        <v>15</v>
      </c>
      <c r="I236" s="20">
        <v>15000</v>
      </c>
      <c r="J236" s="20">
        <f t="shared" si="3"/>
        <v>3569.5</v>
      </c>
      <c r="K236" s="21">
        <f>'Copy of All Sales'!$G236-'Copy of All Sales'!$I236</f>
        <v>20695</v>
      </c>
    </row>
    <row r="237" spans="1:11" x14ac:dyDescent="0.25">
      <c r="A237" s="22">
        <v>44378</v>
      </c>
      <c r="B237" s="23" t="s">
        <v>57</v>
      </c>
      <c r="C237" s="23" t="s">
        <v>58</v>
      </c>
      <c r="D237" s="23" t="s">
        <v>56</v>
      </c>
      <c r="E237" s="23" t="str">
        <v>Cory Goodwin</v>
      </c>
      <c r="F237" s="23" t="s">
        <v>26</v>
      </c>
      <c r="G237" s="24">
        <v>9405.2999999999993</v>
      </c>
      <c r="H237" s="23" t="s">
        <v>15</v>
      </c>
      <c r="I237" s="24">
        <v>15000</v>
      </c>
      <c r="J237" s="24">
        <f t="shared" si="3"/>
        <v>0</v>
      </c>
      <c r="K237" s="25">
        <f>'Copy of All Sales'!$G237-'Copy of All Sales'!$I237</f>
        <v>-5594.7000000000007</v>
      </c>
    </row>
    <row r="238" spans="1:11" x14ac:dyDescent="0.25">
      <c r="A238" s="18">
        <v>44378</v>
      </c>
      <c r="B238" s="19" t="s">
        <v>48</v>
      </c>
      <c r="C238" s="19" t="s">
        <v>49</v>
      </c>
      <c r="D238" s="19" t="s">
        <v>47</v>
      </c>
      <c r="E238" s="19" t="str">
        <v>Emily Whelan</v>
      </c>
      <c r="F238" s="19" t="s">
        <v>26</v>
      </c>
      <c r="G238" s="20">
        <v>9704.1999999999989</v>
      </c>
      <c r="H238" s="19" t="s">
        <v>43</v>
      </c>
      <c r="I238" s="20">
        <v>15000</v>
      </c>
      <c r="J238" s="20">
        <f t="shared" si="3"/>
        <v>0</v>
      </c>
      <c r="K238" s="21">
        <f>'Copy of All Sales'!$G238-'Copy of All Sales'!$I238</f>
        <v>-5295.8000000000011</v>
      </c>
    </row>
    <row r="239" spans="1:11" x14ac:dyDescent="0.25">
      <c r="A239" s="22">
        <v>44378</v>
      </c>
      <c r="B239" s="23" t="s">
        <v>57</v>
      </c>
      <c r="C239" s="23" t="s">
        <v>58</v>
      </c>
      <c r="D239" s="23" t="s">
        <v>56</v>
      </c>
      <c r="E239" s="23" t="str">
        <v>Cory Goodwin</v>
      </c>
      <c r="F239" s="23" t="s">
        <v>26</v>
      </c>
      <c r="G239" s="24">
        <v>13674</v>
      </c>
      <c r="H239" s="23" t="s">
        <v>15</v>
      </c>
      <c r="I239" s="24">
        <v>15000</v>
      </c>
      <c r="J239" s="24">
        <f t="shared" si="3"/>
        <v>0</v>
      </c>
      <c r="K239" s="25">
        <f>'Copy of All Sales'!$G239-'Copy of All Sales'!$I239</f>
        <v>-1326</v>
      </c>
    </row>
    <row r="240" spans="1:11" x14ac:dyDescent="0.25">
      <c r="A240" s="18">
        <v>44378</v>
      </c>
      <c r="B240" s="19" t="s">
        <v>35</v>
      </c>
      <c r="C240" s="19" t="s">
        <v>36</v>
      </c>
      <c r="D240" s="19" t="s">
        <v>34</v>
      </c>
      <c r="E240" s="19" t="str">
        <v>Annabel Mettick</v>
      </c>
      <c r="F240" s="19" t="s">
        <v>26</v>
      </c>
      <c r="G240" s="20">
        <v>21120.400000000001</v>
      </c>
      <c r="H240" s="19" t="s">
        <v>15</v>
      </c>
      <c r="I240" s="20">
        <v>15000</v>
      </c>
      <c r="J240" s="20">
        <f t="shared" si="3"/>
        <v>2112.0400000000004</v>
      </c>
      <c r="K240" s="21">
        <f>'Copy of All Sales'!$G240-'Copy of All Sales'!$I240</f>
        <v>6120.4000000000015</v>
      </c>
    </row>
    <row r="241" spans="1:11" x14ac:dyDescent="0.25">
      <c r="A241" s="22">
        <v>44378</v>
      </c>
      <c r="B241" s="23" t="s">
        <v>35</v>
      </c>
      <c r="C241" s="23" t="s">
        <v>36</v>
      </c>
      <c r="D241" s="23" t="s">
        <v>34</v>
      </c>
      <c r="E241" s="23" t="str">
        <v>Annabel Mettick</v>
      </c>
      <c r="F241" s="23" t="s">
        <v>26</v>
      </c>
      <c r="G241" s="24">
        <v>23997.600000000002</v>
      </c>
      <c r="H241" s="23" t="s">
        <v>11</v>
      </c>
      <c r="I241" s="24">
        <v>15000</v>
      </c>
      <c r="J241" s="24">
        <f t="shared" si="3"/>
        <v>2399.7600000000002</v>
      </c>
      <c r="K241" s="25">
        <f>'Copy of All Sales'!$G241-'Copy of All Sales'!$I241</f>
        <v>8997.6000000000022</v>
      </c>
    </row>
    <row r="242" spans="1:11" x14ac:dyDescent="0.25">
      <c r="A242" s="18">
        <v>44378</v>
      </c>
      <c r="B242" s="19" t="s">
        <v>35</v>
      </c>
      <c r="C242" s="19" t="s">
        <v>36</v>
      </c>
      <c r="D242" s="19" t="s">
        <v>34</v>
      </c>
      <c r="E242" s="19" t="str">
        <v>Annabel Mettick</v>
      </c>
      <c r="F242" s="19" t="s">
        <v>26</v>
      </c>
      <c r="G242" s="20">
        <v>35715.4</v>
      </c>
      <c r="H242" s="19" t="s">
        <v>43</v>
      </c>
      <c r="I242" s="20">
        <v>15000</v>
      </c>
      <c r="J242" s="20">
        <f t="shared" si="3"/>
        <v>3571.5400000000004</v>
      </c>
      <c r="K242" s="21">
        <f>'Copy of All Sales'!$G242-'Copy of All Sales'!$I242</f>
        <v>20715.400000000001</v>
      </c>
    </row>
    <row r="243" spans="1:11" x14ac:dyDescent="0.25">
      <c r="A243" s="22">
        <v>44409</v>
      </c>
      <c r="B243" s="23" t="s">
        <v>35</v>
      </c>
      <c r="C243" s="23" t="s">
        <v>36</v>
      </c>
      <c r="D243" s="23" t="s">
        <v>34</v>
      </c>
      <c r="E243" s="23" t="str">
        <v>Annabel Mettick</v>
      </c>
      <c r="F243" s="23" t="s">
        <v>26</v>
      </c>
      <c r="G243" s="24">
        <v>3386.6000000000004</v>
      </c>
      <c r="H243" s="23" t="s">
        <v>15</v>
      </c>
      <c r="I243" s="24">
        <v>15000</v>
      </c>
      <c r="J243" s="24">
        <f t="shared" si="3"/>
        <v>0</v>
      </c>
      <c r="K243" s="25">
        <f>'Copy of All Sales'!$G243-'Copy of All Sales'!$I243</f>
        <v>-11613.4</v>
      </c>
    </row>
    <row r="244" spans="1:11" x14ac:dyDescent="0.25">
      <c r="A244" s="18">
        <v>44409</v>
      </c>
      <c r="B244" s="19" t="s">
        <v>48</v>
      </c>
      <c r="C244" s="19" t="s">
        <v>49</v>
      </c>
      <c r="D244" s="19" t="s">
        <v>47</v>
      </c>
      <c r="E244" s="19" t="str">
        <v>Emily Whelan</v>
      </c>
      <c r="F244" s="19" t="s">
        <v>26</v>
      </c>
      <c r="G244" s="20">
        <v>4028</v>
      </c>
      <c r="H244" s="19" t="s">
        <v>11</v>
      </c>
      <c r="I244" s="20">
        <v>15000</v>
      </c>
      <c r="J244" s="20">
        <f t="shared" si="3"/>
        <v>0</v>
      </c>
      <c r="K244" s="21">
        <f>'Copy of All Sales'!$G244-'Copy of All Sales'!$I244</f>
        <v>-10972</v>
      </c>
    </row>
    <row r="245" spans="1:11" x14ac:dyDescent="0.25">
      <c r="A245" s="22">
        <v>44409</v>
      </c>
      <c r="B245" s="23" t="s">
        <v>24</v>
      </c>
      <c r="C245" s="23" t="s">
        <v>25</v>
      </c>
      <c r="D245" s="23" t="s">
        <v>23</v>
      </c>
      <c r="E245" s="23" t="str">
        <v>Olivia Cheung</v>
      </c>
      <c r="F245" s="23" t="s">
        <v>26</v>
      </c>
      <c r="G245" s="24">
        <v>5532.7999999999993</v>
      </c>
      <c r="H245" s="23" t="s">
        <v>15</v>
      </c>
      <c r="I245" s="24">
        <v>15000</v>
      </c>
      <c r="J245" s="24">
        <f t="shared" si="3"/>
        <v>0</v>
      </c>
      <c r="K245" s="25">
        <f>'Copy of All Sales'!$G245-'Copy of All Sales'!$I245</f>
        <v>-9467.2000000000007</v>
      </c>
    </row>
    <row r="246" spans="1:11" x14ac:dyDescent="0.25">
      <c r="A246" s="18">
        <v>44409</v>
      </c>
      <c r="B246" s="19" t="s">
        <v>35</v>
      </c>
      <c r="C246" s="19" t="s">
        <v>36</v>
      </c>
      <c r="D246" s="19" t="s">
        <v>34</v>
      </c>
      <c r="E246" s="19" t="str">
        <v>Annabel Mettick</v>
      </c>
      <c r="F246" s="19" t="s">
        <v>26</v>
      </c>
      <c r="G246" s="20">
        <v>10200</v>
      </c>
      <c r="H246" s="19" t="s">
        <v>43</v>
      </c>
      <c r="I246" s="20">
        <v>15000</v>
      </c>
      <c r="J246" s="20">
        <f t="shared" si="3"/>
        <v>0</v>
      </c>
      <c r="K246" s="21">
        <f>'Copy of All Sales'!$G246-'Copy of All Sales'!$I246</f>
        <v>-4800</v>
      </c>
    </row>
    <row r="247" spans="1:11" x14ac:dyDescent="0.25">
      <c r="A247" s="22">
        <v>44409</v>
      </c>
      <c r="B247" s="23" t="s">
        <v>24</v>
      </c>
      <c r="C247" s="23" t="s">
        <v>25</v>
      </c>
      <c r="D247" s="23" t="s">
        <v>23</v>
      </c>
      <c r="E247" s="23" t="str">
        <v>Olivia Cheung</v>
      </c>
      <c r="F247" s="23" t="s">
        <v>26</v>
      </c>
      <c r="G247" s="24">
        <v>13923</v>
      </c>
      <c r="H247" s="23" t="s">
        <v>43</v>
      </c>
      <c r="I247" s="24">
        <v>15000</v>
      </c>
      <c r="J247" s="24">
        <f t="shared" si="3"/>
        <v>0</v>
      </c>
      <c r="K247" s="25">
        <f>'Copy of All Sales'!$G247-'Copy of All Sales'!$I247</f>
        <v>-1077</v>
      </c>
    </row>
    <row r="248" spans="1:11" x14ac:dyDescent="0.25">
      <c r="A248" s="18">
        <v>44409</v>
      </c>
      <c r="B248" s="19" t="s">
        <v>48</v>
      </c>
      <c r="C248" s="19" t="s">
        <v>49</v>
      </c>
      <c r="D248" s="19" t="s">
        <v>47</v>
      </c>
      <c r="E248" s="19" t="str">
        <v>Emily Whelan</v>
      </c>
      <c r="F248" s="19" t="s">
        <v>26</v>
      </c>
      <c r="G248" s="20">
        <v>17593.399999999998</v>
      </c>
      <c r="H248" s="19" t="s">
        <v>15</v>
      </c>
      <c r="I248" s="20">
        <v>15000</v>
      </c>
      <c r="J248" s="20">
        <f t="shared" si="3"/>
        <v>1759.34</v>
      </c>
      <c r="K248" s="21">
        <f>'Copy of All Sales'!$G248-'Copy of All Sales'!$I248</f>
        <v>2593.3999999999978</v>
      </c>
    </row>
    <row r="249" spans="1:11" x14ac:dyDescent="0.25">
      <c r="A249" s="22">
        <v>44409</v>
      </c>
      <c r="B249" s="23" t="s">
        <v>57</v>
      </c>
      <c r="C249" s="23" t="s">
        <v>58</v>
      </c>
      <c r="D249" s="23" t="s">
        <v>56</v>
      </c>
      <c r="E249" s="23" t="str">
        <v>Cory Goodwin</v>
      </c>
      <c r="F249" s="23" t="s">
        <v>26</v>
      </c>
      <c r="G249" s="24">
        <v>17666</v>
      </c>
      <c r="H249" s="23" t="s">
        <v>11</v>
      </c>
      <c r="I249" s="24">
        <v>15000</v>
      </c>
      <c r="J249" s="24">
        <f t="shared" si="3"/>
        <v>1766.6000000000001</v>
      </c>
      <c r="K249" s="25">
        <f>'Copy of All Sales'!$G249-'Copy of All Sales'!$I249</f>
        <v>2666</v>
      </c>
    </row>
    <row r="250" spans="1:11" x14ac:dyDescent="0.25">
      <c r="A250" s="18">
        <v>44409</v>
      </c>
      <c r="B250" s="19" t="s">
        <v>35</v>
      </c>
      <c r="C250" s="19" t="s">
        <v>36</v>
      </c>
      <c r="D250" s="19" t="s">
        <v>34</v>
      </c>
      <c r="E250" s="19" t="str">
        <v>Annabel Mettick</v>
      </c>
      <c r="F250" s="19" t="s">
        <v>26</v>
      </c>
      <c r="G250" s="20">
        <v>21420</v>
      </c>
      <c r="H250" s="19" t="s">
        <v>43</v>
      </c>
      <c r="I250" s="20">
        <v>15000</v>
      </c>
      <c r="J250" s="20">
        <f t="shared" si="3"/>
        <v>2142</v>
      </c>
      <c r="K250" s="21">
        <f>'Copy of All Sales'!$G250-'Copy of All Sales'!$I250</f>
        <v>6420</v>
      </c>
    </row>
    <row r="251" spans="1:11" x14ac:dyDescent="0.25">
      <c r="A251" s="22">
        <v>44409</v>
      </c>
      <c r="B251" s="23" t="s">
        <v>24</v>
      </c>
      <c r="C251" s="23" t="s">
        <v>25</v>
      </c>
      <c r="D251" s="23" t="s">
        <v>23</v>
      </c>
      <c r="E251" s="23" t="str">
        <v>Olivia Cheung</v>
      </c>
      <c r="F251" s="23" t="s">
        <v>26</v>
      </c>
      <c r="G251" s="24">
        <v>24080</v>
      </c>
      <c r="H251" s="23" t="s">
        <v>11</v>
      </c>
      <c r="I251" s="24">
        <v>15000</v>
      </c>
      <c r="J251" s="24">
        <f t="shared" si="3"/>
        <v>2408</v>
      </c>
      <c r="K251" s="25">
        <f>'Copy of All Sales'!$G251-'Copy of All Sales'!$I251</f>
        <v>9080</v>
      </c>
    </row>
    <row r="252" spans="1:11" x14ac:dyDescent="0.25">
      <c r="A252" s="18">
        <v>44409</v>
      </c>
      <c r="B252" s="19" t="s">
        <v>48</v>
      </c>
      <c r="C252" s="19" t="s">
        <v>49</v>
      </c>
      <c r="D252" s="19" t="s">
        <v>47</v>
      </c>
      <c r="E252" s="19" t="str">
        <v>Emily Whelan</v>
      </c>
      <c r="F252" s="19" t="s">
        <v>26</v>
      </c>
      <c r="G252" s="20">
        <v>27531</v>
      </c>
      <c r="H252" s="19" t="s">
        <v>43</v>
      </c>
      <c r="I252" s="20">
        <v>15000</v>
      </c>
      <c r="J252" s="20">
        <f t="shared" si="3"/>
        <v>2753.1000000000004</v>
      </c>
      <c r="K252" s="21">
        <f>'Copy of All Sales'!$G252-'Copy of All Sales'!$I252</f>
        <v>12531</v>
      </c>
    </row>
    <row r="253" spans="1:11" x14ac:dyDescent="0.25">
      <c r="A253" s="22">
        <v>44409</v>
      </c>
      <c r="B253" s="23" t="s">
        <v>57</v>
      </c>
      <c r="C253" s="23" t="s">
        <v>58</v>
      </c>
      <c r="D253" s="23" t="s">
        <v>56</v>
      </c>
      <c r="E253" s="23" t="str">
        <v>Cory Goodwin</v>
      </c>
      <c r="F253" s="23" t="s">
        <v>26</v>
      </c>
      <c r="G253" s="24">
        <v>32795.700000000004</v>
      </c>
      <c r="H253" s="23" t="s">
        <v>15</v>
      </c>
      <c r="I253" s="24">
        <v>15000</v>
      </c>
      <c r="J253" s="24">
        <f t="shared" si="3"/>
        <v>3279.5700000000006</v>
      </c>
      <c r="K253" s="25">
        <f>'Copy of All Sales'!$G253-'Copy of All Sales'!$I253</f>
        <v>17795.700000000004</v>
      </c>
    </row>
    <row r="254" spans="1:11" x14ac:dyDescent="0.25">
      <c r="A254" s="18">
        <v>44440</v>
      </c>
      <c r="B254" s="19" t="s">
        <v>48</v>
      </c>
      <c r="C254" s="19" t="s">
        <v>49</v>
      </c>
      <c r="D254" s="19" t="s">
        <v>47</v>
      </c>
      <c r="E254" s="19" t="str">
        <v>Emily Whelan</v>
      </c>
      <c r="F254" s="19" t="s">
        <v>26</v>
      </c>
      <c r="G254" s="20">
        <v>7008</v>
      </c>
      <c r="H254" s="19" t="s">
        <v>43</v>
      </c>
      <c r="I254" s="20">
        <v>15000</v>
      </c>
      <c r="J254" s="20">
        <f t="shared" si="3"/>
        <v>0</v>
      </c>
      <c r="K254" s="21">
        <f>'Copy of All Sales'!$G254-'Copy of All Sales'!$I254</f>
        <v>-7992</v>
      </c>
    </row>
    <row r="255" spans="1:11" x14ac:dyDescent="0.25">
      <c r="A255" s="22">
        <v>44440</v>
      </c>
      <c r="B255" s="23" t="s">
        <v>24</v>
      </c>
      <c r="C255" s="23" t="s">
        <v>25</v>
      </c>
      <c r="D255" s="23" t="s">
        <v>23</v>
      </c>
      <c r="E255" s="23" t="str">
        <v>Olivia Cheung</v>
      </c>
      <c r="F255" s="23" t="s">
        <v>26</v>
      </c>
      <c r="G255" s="24">
        <v>8099.6999999999989</v>
      </c>
      <c r="H255" s="23" t="s">
        <v>11</v>
      </c>
      <c r="I255" s="24">
        <v>15000</v>
      </c>
      <c r="J255" s="24">
        <f t="shared" si="3"/>
        <v>0</v>
      </c>
      <c r="K255" s="25">
        <f>'Copy of All Sales'!$G255-'Copy of All Sales'!$I255</f>
        <v>-6900.3000000000011</v>
      </c>
    </row>
    <row r="256" spans="1:11" x14ac:dyDescent="0.25">
      <c r="A256" s="18">
        <v>44440</v>
      </c>
      <c r="B256" s="19" t="s">
        <v>35</v>
      </c>
      <c r="C256" s="19" t="s">
        <v>36</v>
      </c>
      <c r="D256" s="19" t="s">
        <v>34</v>
      </c>
      <c r="E256" s="19" t="str">
        <v>Annabel Mettick</v>
      </c>
      <c r="F256" s="19" t="s">
        <v>26</v>
      </c>
      <c r="G256" s="20">
        <v>9840</v>
      </c>
      <c r="H256" s="19" t="s">
        <v>15</v>
      </c>
      <c r="I256" s="20">
        <v>15000</v>
      </c>
      <c r="J256" s="20">
        <f t="shared" si="3"/>
        <v>0</v>
      </c>
      <c r="K256" s="21">
        <f>'Copy of All Sales'!$G256-'Copy of All Sales'!$I256</f>
        <v>-5160</v>
      </c>
    </row>
    <row r="257" spans="1:11" x14ac:dyDescent="0.25">
      <c r="A257" s="22">
        <v>44440</v>
      </c>
      <c r="B257" s="23" t="s">
        <v>51</v>
      </c>
      <c r="C257" s="23" t="s">
        <v>52</v>
      </c>
      <c r="D257" s="23" t="s">
        <v>50</v>
      </c>
      <c r="E257" s="23" t="str">
        <v>Jason Jackaki</v>
      </c>
      <c r="F257" s="23" t="s">
        <v>26</v>
      </c>
      <c r="G257" s="24">
        <v>10218</v>
      </c>
      <c r="H257" s="23" t="s">
        <v>15</v>
      </c>
      <c r="I257" s="24">
        <v>15000</v>
      </c>
      <c r="J257" s="24">
        <f t="shared" si="3"/>
        <v>0</v>
      </c>
      <c r="K257" s="25">
        <f>'Copy of All Sales'!$G257-'Copy of All Sales'!$I257</f>
        <v>-4782</v>
      </c>
    </row>
    <row r="258" spans="1:11" x14ac:dyDescent="0.25">
      <c r="A258" s="18">
        <v>44440</v>
      </c>
      <c r="B258" s="19" t="s">
        <v>35</v>
      </c>
      <c r="C258" s="19" t="s">
        <v>36</v>
      </c>
      <c r="D258" s="19" t="s">
        <v>34</v>
      </c>
      <c r="E258" s="19" t="str">
        <v>Annabel Mettick</v>
      </c>
      <c r="F258" s="19" t="s">
        <v>26</v>
      </c>
      <c r="G258" s="20">
        <v>14311.2</v>
      </c>
      <c r="H258" s="19" t="s">
        <v>11</v>
      </c>
      <c r="I258" s="20">
        <v>15000</v>
      </c>
      <c r="J258" s="20">
        <f t="shared" ref="J258:J321" si="4">IF(G258&gt;=I258,G258*$M$2,0)</f>
        <v>0</v>
      </c>
      <c r="K258" s="21">
        <f>'Copy of All Sales'!$G258-'Copy of All Sales'!$I258</f>
        <v>-688.79999999999927</v>
      </c>
    </row>
    <row r="259" spans="1:11" x14ac:dyDescent="0.25">
      <c r="A259" s="22">
        <v>44440</v>
      </c>
      <c r="B259" s="23" t="s">
        <v>35</v>
      </c>
      <c r="C259" s="23" t="s">
        <v>36</v>
      </c>
      <c r="D259" s="23" t="s">
        <v>34</v>
      </c>
      <c r="E259" s="23" t="str">
        <v>Annabel Mettick</v>
      </c>
      <c r="F259" s="23" t="s">
        <v>26</v>
      </c>
      <c r="G259" s="24">
        <v>14715.2</v>
      </c>
      <c r="H259" s="23" t="s">
        <v>15</v>
      </c>
      <c r="I259" s="24">
        <v>15000</v>
      </c>
      <c r="J259" s="24">
        <f t="shared" si="4"/>
        <v>0</v>
      </c>
      <c r="K259" s="25">
        <f>'Copy of All Sales'!$G259-'Copy of All Sales'!$I259</f>
        <v>-284.79999999999927</v>
      </c>
    </row>
    <row r="260" spans="1:11" x14ac:dyDescent="0.25">
      <c r="A260" s="18">
        <v>44440</v>
      </c>
      <c r="B260" s="19" t="s">
        <v>57</v>
      </c>
      <c r="C260" s="19" t="s">
        <v>58</v>
      </c>
      <c r="D260" s="19" t="s">
        <v>56</v>
      </c>
      <c r="E260" s="19" t="str">
        <v>Cory Goodwin</v>
      </c>
      <c r="F260" s="19" t="s">
        <v>26</v>
      </c>
      <c r="G260" s="20">
        <v>19147.8</v>
      </c>
      <c r="H260" s="19" t="s">
        <v>15</v>
      </c>
      <c r="I260" s="20">
        <v>15000</v>
      </c>
      <c r="J260" s="20">
        <f t="shared" si="4"/>
        <v>1914.78</v>
      </c>
      <c r="K260" s="21">
        <f>'Copy of All Sales'!$G260-'Copy of All Sales'!$I260</f>
        <v>4147.7999999999993</v>
      </c>
    </row>
    <row r="261" spans="1:11" x14ac:dyDescent="0.25">
      <c r="A261" s="22">
        <v>44440</v>
      </c>
      <c r="B261" s="23" t="s">
        <v>35</v>
      </c>
      <c r="C261" s="23" t="s">
        <v>36</v>
      </c>
      <c r="D261" s="23" t="s">
        <v>34</v>
      </c>
      <c r="E261" s="23" t="str">
        <v>Annabel Mettick</v>
      </c>
      <c r="F261" s="23" t="s">
        <v>26</v>
      </c>
      <c r="G261" s="24">
        <v>20760.300000000003</v>
      </c>
      <c r="H261" s="23" t="s">
        <v>15</v>
      </c>
      <c r="I261" s="24">
        <v>15000</v>
      </c>
      <c r="J261" s="24">
        <f t="shared" si="4"/>
        <v>2076.0300000000002</v>
      </c>
      <c r="K261" s="25">
        <f>'Copy of All Sales'!$G261-'Copy of All Sales'!$I261</f>
        <v>5760.3000000000029</v>
      </c>
    </row>
    <row r="262" spans="1:11" x14ac:dyDescent="0.25">
      <c r="A262" s="18">
        <v>44440</v>
      </c>
      <c r="B262" s="19" t="s">
        <v>57</v>
      </c>
      <c r="C262" s="19" t="s">
        <v>58</v>
      </c>
      <c r="D262" s="19" t="s">
        <v>56</v>
      </c>
      <c r="E262" s="19" t="str">
        <v>Cory Goodwin</v>
      </c>
      <c r="F262" s="19" t="s">
        <v>26</v>
      </c>
      <c r="G262" s="20">
        <v>24579.8</v>
      </c>
      <c r="H262" s="19" t="s">
        <v>11</v>
      </c>
      <c r="I262" s="20">
        <v>15000</v>
      </c>
      <c r="J262" s="20">
        <f t="shared" si="4"/>
        <v>2457.98</v>
      </c>
      <c r="K262" s="21">
        <f>'Copy of All Sales'!$G262-'Copy of All Sales'!$I262</f>
        <v>9579.7999999999993</v>
      </c>
    </row>
    <row r="263" spans="1:11" x14ac:dyDescent="0.25">
      <c r="A263" s="22">
        <v>44440</v>
      </c>
      <c r="B263" s="23" t="s">
        <v>57</v>
      </c>
      <c r="C263" s="23" t="s">
        <v>58</v>
      </c>
      <c r="D263" s="23" t="s">
        <v>56</v>
      </c>
      <c r="E263" s="23" t="str">
        <v>Cory Goodwin</v>
      </c>
      <c r="F263" s="23" t="s">
        <v>26</v>
      </c>
      <c r="G263" s="24">
        <v>25946.300000000003</v>
      </c>
      <c r="H263" s="23" t="s">
        <v>43</v>
      </c>
      <c r="I263" s="24">
        <v>15000</v>
      </c>
      <c r="J263" s="24">
        <f t="shared" si="4"/>
        <v>2594.6300000000006</v>
      </c>
      <c r="K263" s="25">
        <f>'Copy of All Sales'!$G263-'Copy of All Sales'!$I263</f>
        <v>10946.300000000003</v>
      </c>
    </row>
    <row r="264" spans="1:11" x14ac:dyDescent="0.25">
      <c r="A264" s="18">
        <v>44440</v>
      </c>
      <c r="B264" s="19" t="s">
        <v>24</v>
      </c>
      <c r="C264" s="19" t="s">
        <v>25</v>
      </c>
      <c r="D264" s="19" t="s">
        <v>23</v>
      </c>
      <c r="E264" s="19" t="str">
        <v>Olivia Cheung</v>
      </c>
      <c r="F264" s="19" t="s">
        <v>26</v>
      </c>
      <c r="G264" s="20">
        <v>30367.999999999996</v>
      </c>
      <c r="H264" s="19" t="s">
        <v>15</v>
      </c>
      <c r="I264" s="20">
        <v>15000</v>
      </c>
      <c r="J264" s="20">
        <f t="shared" si="4"/>
        <v>3036.7999999999997</v>
      </c>
      <c r="K264" s="21">
        <f>'Copy of All Sales'!$G264-'Copy of All Sales'!$I264</f>
        <v>15367.999999999996</v>
      </c>
    </row>
    <row r="265" spans="1:11" x14ac:dyDescent="0.25">
      <c r="A265" s="22">
        <v>44440</v>
      </c>
      <c r="B265" s="23" t="s">
        <v>48</v>
      </c>
      <c r="C265" s="23" t="s">
        <v>49</v>
      </c>
      <c r="D265" s="23" t="s">
        <v>47</v>
      </c>
      <c r="E265" s="23" t="str">
        <v>Emily Whelan</v>
      </c>
      <c r="F265" s="23" t="s">
        <v>26</v>
      </c>
      <c r="G265" s="24">
        <v>35640</v>
      </c>
      <c r="H265" s="23" t="s">
        <v>11</v>
      </c>
      <c r="I265" s="24">
        <v>15000</v>
      </c>
      <c r="J265" s="24">
        <f t="shared" si="4"/>
        <v>3564</v>
      </c>
      <c r="K265" s="25">
        <f>'Copy of All Sales'!$G265-'Copy of All Sales'!$I265</f>
        <v>20640</v>
      </c>
    </row>
    <row r="266" spans="1:11" x14ac:dyDescent="0.25">
      <c r="A266" s="18">
        <v>44470</v>
      </c>
      <c r="B266" s="19" t="s">
        <v>51</v>
      </c>
      <c r="C266" s="19" t="s">
        <v>52</v>
      </c>
      <c r="D266" s="19" t="s">
        <v>50</v>
      </c>
      <c r="E266" s="19" t="str">
        <v>Jason Jackaki</v>
      </c>
      <c r="F266" s="19" t="s">
        <v>26</v>
      </c>
      <c r="G266" s="20">
        <v>4201.6000000000004</v>
      </c>
      <c r="H266" s="19" t="s">
        <v>15</v>
      </c>
      <c r="I266" s="20">
        <v>15000</v>
      </c>
      <c r="J266" s="20">
        <f t="shared" si="4"/>
        <v>0</v>
      </c>
      <c r="K266" s="21">
        <f>'Copy of All Sales'!$G266-'Copy of All Sales'!$I266</f>
        <v>-10798.4</v>
      </c>
    </row>
    <row r="267" spans="1:11" x14ac:dyDescent="0.25">
      <c r="A267" s="22">
        <v>44470</v>
      </c>
      <c r="B267" s="23" t="s">
        <v>24</v>
      </c>
      <c r="C267" s="23" t="s">
        <v>25</v>
      </c>
      <c r="D267" s="23" t="s">
        <v>23</v>
      </c>
      <c r="E267" s="23" t="str">
        <v>Olivia Cheung</v>
      </c>
      <c r="F267" s="23" t="s">
        <v>26</v>
      </c>
      <c r="G267" s="24">
        <v>15262.8</v>
      </c>
      <c r="H267" s="23" t="s">
        <v>43</v>
      </c>
      <c r="I267" s="24">
        <v>15000</v>
      </c>
      <c r="J267" s="24">
        <f t="shared" si="4"/>
        <v>1526.28</v>
      </c>
      <c r="K267" s="25">
        <f>'Copy of All Sales'!$G267-'Copy of All Sales'!$I267</f>
        <v>262.79999999999927</v>
      </c>
    </row>
    <row r="268" spans="1:11" x14ac:dyDescent="0.25">
      <c r="A268" s="18">
        <v>44470</v>
      </c>
      <c r="B268" s="19" t="s">
        <v>57</v>
      </c>
      <c r="C268" s="19" t="s">
        <v>58</v>
      </c>
      <c r="D268" s="19" t="s">
        <v>56</v>
      </c>
      <c r="E268" s="19" t="str">
        <v>Cory Goodwin</v>
      </c>
      <c r="F268" s="19" t="s">
        <v>26</v>
      </c>
      <c r="G268" s="20">
        <v>20790</v>
      </c>
      <c r="H268" s="19" t="s">
        <v>15</v>
      </c>
      <c r="I268" s="20">
        <v>15000</v>
      </c>
      <c r="J268" s="20">
        <f t="shared" si="4"/>
        <v>2079</v>
      </c>
      <c r="K268" s="21">
        <f>'Copy of All Sales'!$G268-'Copy of All Sales'!$I268</f>
        <v>5790</v>
      </c>
    </row>
    <row r="269" spans="1:11" x14ac:dyDescent="0.25">
      <c r="A269" s="22">
        <v>44470</v>
      </c>
      <c r="B269" s="23" t="s">
        <v>51</v>
      </c>
      <c r="C269" s="23" t="s">
        <v>52</v>
      </c>
      <c r="D269" s="23" t="s">
        <v>50</v>
      </c>
      <c r="E269" s="23" t="str">
        <v>Jason Jackaki</v>
      </c>
      <c r="F269" s="23" t="s">
        <v>26</v>
      </c>
      <c r="G269" s="24">
        <v>21878.5</v>
      </c>
      <c r="H269" s="23" t="s">
        <v>11</v>
      </c>
      <c r="I269" s="24">
        <v>15000</v>
      </c>
      <c r="J269" s="24">
        <f t="shared" si="4"/>
        <v>2187.85</v>
      </c>
      <c r="K269" s="25">
        <f>'Copy of All Sales'!$G269-'Copy of All Sales'!$I269</f>
        <v>6878.5</v>
      </c>
    </row>
    <row r="270" spans="1:11" x14ac:dyDescent="0.25">
      <c r="A270" s="18">
        <v>44470</v>
      </c>
      <c r="B270" s="19" t="s">
        <v>57</v>
      </c>
      <c r="C270" s="19" t="s">
        <v>58</v>
      </c>
      <c r="D270" s="19" t="s">
        <v>56</v>
      </c>
      <c r="E270" s="19" t="str">
        <v>Cory Goodwin</v>
      </c>
      <c r="F270" s="19" t="s">
        <v>26</v>
      </c>
      <c r="G270" s="20">
        <v>22136.800000000003</v>
      </c>
      <c r="H270" s="19" t="s">
        <v>11</v>
      </c>
      <c r="I270" s="20">
        <v>15000</v>
      </c>
      <c r="J270" s="20">
        <f t="shared" si="4"/>
        <v>2213.6800000000003</v>
      </c>
      <c r="K270" s="21">
        <f>'Copy of All Sales'!$G270-'Copy of All Sales'!$I270</f>
        <v>7136.8000000000029</v>
      </c>
    </row>
    <row r="271" spans="1:11" x14ac:dyDescent="0.25">
      <c r="A271" s="22">
        <v>44470</v>
      </c>
      <c r="B271" s="23" t="s">
        <v>57</v>
      </c>
      <c r="C271" s="23" t="s">
        <v>58</v>
      </c>
      <c r="D271" s="23" t="s">
        <v>56</v>
      </c>
      <c r="E271" s="23" t="str">
        <v>Cory Goodwin</v>
      </c>
      <c r="F271" s="23" t="s">
        <v>26</v>
      </c>
      <c r="G271" s="24">
        <v>23240.400000000001</v>
      </c>
      <c r="H271" s="23" t="s">
        <v>15</v>
      </c>
      <c r="I271" s="24">
        <v>15000</v>
      </c>
      <c r="J271" s="24">
        <f t="shared" si="4"/>
        <v>2324.0400000000004</v>
      </c>
      <c r="K271" s="25">
        <f>'Copy of All Sales'!$G271-'Copy of All Sales'!$I271</f>
        <v>8240.4000000000015</v>
      </c>
    </row>
    <row r="272" spans="1:11" x14ac:dyDescent="0.25">
      <c r="A272" s="18">
        <v>44470</v>
      </c>
      <c r="B272" s="19" t="s">
        <v>51</v>
      </c>
      <c r="C272" s="19" t="s">
        <v>52</v>
      </c>
      <c r="D272" s="19" t="s">
        <v>50</v>
      </c>
      <c r="E272" s="19" t="str">
        <v>Jason Jackaki</v>
      </c>
      <c r="F272" s="19" t="s">
        <v>26</v>
      </c>
      <c r="G272" s="20">
        <v>41989.599999999999</v>
      </c>
      <c r="H272" s="19" t="s">
        <v>11</v>
      </c>
      <c r="I272" s="20">
        <v>15000</v>
      </c>
      <c r="J272" s="20">
        <f t="shared" si="4"/>
        <v>4198.96</v>
      </c>
      <c r="K272" s="21">
        <f>'Copy of All Sales'!$G272-'Copy of All Sales'!$I272</f>
        <v>26989.599999999999</v>
      </c>
    </row>
    <row r="273" spans="1:11" x14ac:dyDescent="0.25">
      <c r="A273" s="22">
        <v>44501</v>
      </c>
      <c r="B273" s="23" t="s">
        <v>35</v>
      </c>
      <c r="C273" s="23" t="s">
        <v>36</v>
      </c>
      <c r="D273" s="23" t="s">
        <v>34</v>
      </c>
      <c r="E273" s="23" t="str">
        <v>Annabel Mettick</v>
      </c>
      <c r="F273" s="23" t="s">
        <v>26</v>
      </c>
      <c r="G273" s="24">
        <v>9006</v>
      </c>
      <c r="H273" s="23" t="s">
        <v>43</v>
      </c>
      <c r="I273" s="24">
        <v>15000</v>
      </c>
      <c r="J273" s="24">
        <f t="shared" si="4"/>
        <v>0</v>
      </c>
      <c r="K273" s="25">
        <f>'Copy of All Sales'!$G273-'Copy of All Sales'!$I273</f>
        <v>-5994</v>
      </c>
    </row>
    <row r="274" spans="1:11" x14ac:dyDescent="0.25">
      <c r="A274" s="18">
        <v>44501</v>
      </c>
      <c r="B274" s="19" t="s">
        <v>51</v>
      </c>
      <c r="C274" s="19" t="s">
        <v>52</v>
      </c>
      <c r="D274" s="19" t="s">
        <v>50</v>
      </c>
      <c r="E274" s="19" t="str">
        <v>Jason Jackaki</v>
      </c>
      <c r="F274" s="19" t="s">
        <v>26</v>
      </c>
      <c r="G274" s="20">
        <v>10573.5</v>
      </c>
      <c r="H274" s="19" t="s">
        <v>11</v>
      </c>
      <c r="I274" s="20">
        <v>15000</v>
      </c>
      <c r="J274" s="20">
        <f t="shared" si="4"/>
        <v>0</v>
      </c>
      <c r="K274" s="21">
        <f>'Copy of All Sales'!$G274-'Copy of All Sales'!$I274</f>
        <v>-4426.5</v>
      </c>
    </row>
    <row r="275" spans="1:11" x14ac:dyDescent="0.25">
      <c r="A275" s="22">
        <v>44501</v>
      </c>
      <c r="B275" s="23" t="s">
        <v>48</v>
      </c>
      <c r="C275" s="23" t="s">
        <v>49</v>
      </c>
      <c r="D275" s="23" t="s">
        <v>47</v>
      </c>
      <c r="E275" s="23" t="str">
        <v>Emily Whelan</v>
      </c>
      <c r="F275" s="23" t="s">
        <v>26</v>
      </c>
      <c r="G275" s="24">
        <v>13230</v>
      </c>
      <c r="H275" s="23" t="s">
        <v>15</v>
      </c>
      <c r="I275" s="24">
        <v>15000</v>
      </c>
      <c r="J275" s="24">
        <f t="shared" si="4"/>
        <v>0</v>
      </c>
      <c r="K275" s="25">
        <f>'Copy of All Sales'!$G275-'Copy of All Sales'!$I275</f>
        <v>-1770</v>
      </c>
    </row>
    <row r="276" spans="1:11" x14ac:dyDescent="0.25">
      <c r="A276" s="18">
        <v>44501</v>
      </c>
      <c r="B276" s="19" t="s">
        <v>24</v>
      </c>
      <c r="C276" s="19" t="s">
        <v>25</v>
      </c>
      <c r="D276" s="19" t="s">
        <v>23</v>
      </c>
      <c r="E276" s="19" t="str">
        <v>Olivia Cheung</v>
      </c>
      <c r="F276" s="19" t="s">
        <v>26</v>
      </c>
      <c r="G276" s="20">
        <v>15403.600000000002</v>
      </c>
      <c r="H276" s="19" t="s">
        <v>15</v>
      </c>
      <c r="I276" s="20">
        <v>15000</v>
      </c>
      <c r="J276" s="20">
        <f t="shared" si="4"/>
        <v>1540.3600000000004</v>
      </c>
      <c r="K276" s="21">
        <f>'Copy of All Sales'!$G276-'Copy of All Sales'!$I276</f>
        <v>403.60000000000218</v>
      </c>
    </row>
    <row r="277" spans="1:11" x14ac:dyDescent="0.25">
      <c r="A277" s="22">
        <v>44501</v>
      </c>
      <c r="B277" s="23" t="s">
        <v>35</v>
      </c>
      <c r="C277" s="23" t="s">
        <v>36</v>
      </c>
      <c r="D277" s="23" t="s">
        <v>34</v>
      </c>
      <c r="E277" s="23" t="str">
        <v>Annabel Mettick</v>
      </c>
      <c r="F277" s="23" t="s">
        <v>26</v>
      </c>
      <c r="G277" s="24">
        <v>16394.399999999998</v>
      </c>
      <c r="H277" s="23" t="s">
        <v>15</v>
      </c>
      <c r="I277" s="24">
        <v>15000</v>
      </c>
      <c r="J277" s="24">
        <f t="shared" si="4"/>
        <v>1639.4399999999998</v>
      </c>
      <c r="K277" s="25">
        <f>'Copy of All Sales'!$G277-'Copy of All Sales'!$I277</f>
        <v>1394.3999999999978</v>
      </c>
    </row>
    <row r="278" spans="1:11" x14ac:dyDescent="0.25">
      <c r="A278" s="18">
        <v>44501</v>
      </c>
      <c r="B278" s="19" t="s">
        <v>35</v>
      </c>
      <c r="C278" s="19" t="s">
        <v>36</v>
      </c>
      <c r="D278" s="19" t="s">
        <v>34</v>
      </c>
      <c r="E278" s="19" t="str">
        <v>Annabel Mettick</v>
      </c>
      <c r="F278" s="19" t="s">
        <v>26</v>
      </c>
      <c r="G278" s="20">
        <v>16606</v>
      </c>
      <c r="H278" s="19" t="s">
        <v>43</v>
      </c>
      <c r="I278" s="20">
        <v>15000</v>
      </c>
      <c r="J278" s="20">
        <f t="shared" si="4"/>
        <v>1660.6000000000001</v>
      </c>
      <c r="K278" s="21">
        <f>'Copy of All Sales'!$G278-'Copy of All Sales'!$I278</f>
        <v>1606</v>
      </c>
    </row>
    <row r="279" spans="1:11" x14ac:dyDescent="0.25">
      <c r="A279" s="22">
        <v>44501</v>
      </c>
      <c r="B279" s="23" t="s">
        <v>24</v>
      </c>
      <c r="C279" s="23" t="s">
        <v>25</v>
      </c>
      <c r="D279" s="23" t="s">
        <v>23</v>
      </c>
      <c r="E279" s="23" t="str">
        <v>Olivia Cheung</v>
      </c>
      <c r="F279" s="23" t="s">
        <v>26</v>
      </c>
      <c r="G279" s="24">
        <v>18452.599999999999</v>
      </c>
      <c r="H279" s="23" t="s">
        <v>43</v>
      </c>
      <c r="I279" s="24">
        <v>15000</v>
      </c>
      <c r="J279" s="24">
        <f t="shared" si="4"/>
        <v>1845.26</v>
      </c>
      <c r="K279" s="25">
        <f>'Copy of All Sales'!$G279-'Copy of All Sales'!$I279</f>
        <v>3452.5999999999985</v>
      </c>
    </row>
    <row r="280" spans="1:11" x14ac:dyDescent="0.25">
      <c r="A280" s="18">
        <v>44501</v>
      </c>
      <c r="B280" s="19" t="s">
        <v>51</v>
      </c>
      <c r="C280" s="19" t="s">
        <v>52</v>
      </c>
      <c r="D280" s="19" t="s">
        <v>50</v>
      </c>
      <c r="E280" s="19" t="str">
        <v>Jason Jackaki</v>
      </c>
      <c r="F280" s="19" t="s">
        <v>26</v>
      </c>
      <c r="G280" s="20">
        <v>20062.5</v>
      </c>
      <c r="H280" s="19" t="s">
        <v>11</v>
      </c>
      <c r="I280" s="20">
        <v>15000</v>
      </c>
      <c r="J280" s="20">
        <f t="shared" si="4"/>
        <v>2006.25</v>
      </c>
      <c r="K280" s="21">
        <f>'Copy of All Sales'!$G280-'Copy of All Sales'!$I280</f>
        <v>5062.5</v>
      </c>
    </row>
    <row r="281" spans="1:11" x14ac:dyDescent="0.25">
      <c r="A281" s="22">
        <v>44501</v>
      </c>
      <c r="B281" s="23" t="s">
        <v>57</v>
      </c>
      <c r="C281" s="23" t="s">
        <v>58</v>
      </c>
      <c r="D281" s="23" t="s">
        <v>56</v>
      </c>
      <c r="E281" s="23" t="str">
        <v>Cory Goodwin</v>
      </c>
      <c r="F281" s="23" t="s">
        <v>26</v>
      </c>
      <c r="G281" s="24">
        <v>22900.499999999996</v>
      </c>
      <c r="H281" s="23" t="s">
        <v>11</v>
      </c>
      <c r="I281" s="24">
        <v>15000</v>
      </c>
      <c r="J281" s="24">
        <f t="shared" si="4"/>
        <v>2290.0499999999997</v>
      </c>
      <c r="K281" s="25">
        <f>'Copy of All Sales'!$G281-'Copy of All Sales'!$I281</f>
        <v>7900.4999999999964</v>
      </c>
    </row>
    <row r="282" spans="1:11" x14ac:dyDescent="0.25">
      <c r="A282" s="18">
        <v>44501</v>
      </c>
      <c r="B282" s="19" t="s">
        <v>57</v>
      </c>
      <c r="C282" s="19" t="s">
        <v>58</v>
      </c>
      <c r="D282" s="19" t="s">
        <v>56</v>
      </c>
      <c r="E282" s="19" t="str">
        <v>Cory Goodwin</v>
      </c>
      <c r="F282" s="19" t="s">
        <v>26</v>
      </c>
      <c r="G282" s="20">
        <v>23057.999999999996</v>
      </c>
      <c r="H282" s="19" t="s">
        <v>43</v>
      </c>
      <c r="I282" s="20">
        <v>15000</v>
      </c>
      <c r="J282" s="20">
        <f t="shared" si="4"/>
        <v>2305.7999999999997</v>
      </c>
      <c r="K282" s="21">
        <f>'Copy of All Sales'!$G282-'Copy of All Sales'!$I282</f>
        <v>8057.9999999999964</v>
      </c>
    </row>
    <row r="283" spans="1:11" x14ac:dyDescent="0.25">
      <c r="A283" s="22">
        <v>44501</v>
      </c>
      <c r="B283" s="23" t="s">
        <v>35</v>
      </c>
      <c r="C283" s="23" t="s">
        <v>36</v>
      </c>
      <c r="D283" s="23" t="s">
        <v>34</v>
      </c>
      <c r="E283" s="23" t="str">
        <v>Annabel Mettick</v>
      </c>
      <c r="F283" s="23" t="s">
        <v>26</v>
      </c>
      <c r="G283" s="24">
        <v>37560</v>
      </c>
      <c r="H283" s="23" t="s">
        <v>43</v>
      </c>
      <c r="I283" s="24">
        <v>15000</v>
      </c>
      <c r="J283" s="24">
        <f t="shared" si="4"/>
        <v>3756</v>
      </c>
      <c r="K283" s="25">
        <f>'Copy of All Sales'!$G283-'Copy of All Sales'!$I283</f>
        <v>22560</v>
      </c>
    </row>
    <row r="284" spans="1:11" x14ac:dyDescent="0.25">
      <c r="A284" s="18">
        <v>44501</v>
      </c>
      <c r="B284" s="19" t="s">
        <v>51</v>
      </c>
      <c r="C284" s="19" t="s">
        <v>52</v>
      </c>
      <c r="D284" s="19" t="s">
        <v>50</v>
      </c>
      <c r="E284" s="19" t="str">
        <v>Jason Jackaki</v>
      </c>
      <c r="F284" s="19" t="s">
        <v>26</v>
      </c>
      <c r="G284" s="20">
        <v>38570</v>
      </c>
      <c r="H284" s="19" t="s">
        <v>11</v>
      </c>
      <c r="I284" s="20">
        <v>15000</v>
      </c>
      <c r="J284" s="20">
        <f t="shared" si="4"/>
        <v>3857</v>
      </c>
      <c r="K284" s="21">
        <f>'Copy of All Sales'!$G284-'Copy of All Sales'!$I284</f>
        <v>23570</v>
      </c>
    </row>
    <row r="285" spans="1:11" x14ac:dyDescent="0.25">
      <c r="A285" s="22">
        <v>44501</v>
      </c>
      <c r="B285" s="23" t="s">
        <v>24</v>
      </c>
      <c r="C285" s="23" t="s">
        <v>25</v>
      </c>
      <c r="D285" s="23" t="s">
        <v>23</v>
      </c>
      <c r="E285" s="23" t="str">
        <v>Olivia Cheung</v>
      </c>
      <c r="F285" s="23" t="s">
        <v>26</v>
      </c>
      <c r="G285" s="24">
        <v>39199.599999999999</v>
      </c>
      <c r="H285" s="23" t="s">
        <v>43</v>
      </c>
      <c r="I285" s="24">
        <v>15000</v>
      </c>
      <c r="J285" s="24">
        <f t="shared" si="4"/>
        <v>3919.96</v>
      </c>
      <c r="K285" s="25">
        <f>'Copy of All Sales'!$G285-'Copy of All Sales'!$I285</f>
        <v>24199.599999999999</v>
      </c>
    </row>
    <row r="286" spans="1:11" x14ac:dyDescent="0.25">
      <c r="A286" s="18">
        <v>44531</v>
      </c>
      <c r="B286" s="19" t="s">
        <v>35</v>
      </c>
      <c r="C286" s="19" t="s">
        <v>36</v>
      </c>
      <c r="D286" s="19" t="s">
        <v>34</v>
      </c>
      <c r="E286" s="19" t="str">
        <v>Annabel Mettick</v>
      </c>
      <c r="F286" s="19" t="s">
        <v>26</v>
      </c>
      <c r="G286" s="20">
        <v>8082.7999999999993</v>
      </c>
      <c r="H286" s="19" t="s">
        <v>11</v>
      </c>
      <c r="I286" s="20">
        <v>15000</v>
      </c>
      <c r="J286" s="20">
        <f t="shared" si="4"/>
        <v>0</v>
      </c>
      <c r="K286" s="21">
        <f>'Copy of All Sales'!$G286-'Copy of All Sales'!$I286</f>
        <v>-6917.2000000000007</v>
      </c>
    </row>
    <row r="287" spans="1:11" x14ac:dyDescent="0.25">
      <c r="A287" s="22">
        <v>44531</v>
      </c>
      <c r="B287" s="23" t="s">
        <v>51</v>
      </c>
      <c r="C287" s="23" t="s">
        <v>52</v>
      </c>
      <c r="D287" s="23" t="s">
        <v>50</v>
      </c>
      <c r="E287" s="23" t="str">
        <v>Jason Jackaki</v>
      </c>
      <c r="F287" s="23" t="s">
        <v>26</v>
      </c>
      <c r="G287" s="24">
        <v>9826.4</v>
      </c>
      <c r="H287" s="23" t="s">
        <v>43</v>
      </c>
      <c r="I287" s="24">
        <v>15000</v>
      </c>
      <c r="J287" s="24">
        <f t="shared" si="4"/>
        <v>0</v>
      </c>
      <c r="K287" s="25">
        <f>'Copy of All Sales'!$G287-'Copy of All Sales'!$I287</f>
        <v>-5173.6000000000004</v>
      </c>
    </row>
    <row r="288" spans="1:11" x14ac:dyDescent="0.25">
      <c r="A288" s="18">
        <v>44531</v>
      </c>
      <c r="B288" s="19" t="s">
        <v>57</v>
      </c>
      <c r="C288" s="19" t="s">
        <v>58</v>
      </c>
      <c r="D288" s="19" t="s">
        <v>56</v>
      </c>
      <c r="E288" s="19" t="str">
        <v>Cory Goodwin</v>
      </c>
      <c r="F288" s="19" t="s">
        <v>26</v>
      </c>
      <c r="G288" s="20">
        <v>12328</v>
      </c>
      <c r="H288" s="19" t="s">
        <v>15</v>
      </c>
      <c r="I288" s="20">
        <v>15000</v>
      </c>
      <c r="J288" s="20">
        <f t="shared" si="4"/>
        <v>0</v>
      </c>
      <c r="K288" s="21">
        <f>'Copy of All Sales'!$G288-'Copy of All Sales'!$I288</f>
        <v>-2672</v>
      </c>
    </row>
    <row r="289" spans="1:11" x14ac:dyDescent="0.25">
      <c r="A289" s="22">
        <v>44531</v>
      </c>
      <c r="B289" s="23" t="s">
        <v>35</v>
      </c>
      <c r="C289" s="23" t="s">
        <v>36</v>
      </c>
      <c r="D289" s="23" t="s">
        <v>34</v>
      </c>
      <c r="E289" s="23" t="str">
        <v>Annabel Mettick</v>
      </c>
      <c r="F289" s="23" t="s">
        <v>26</v>
      </c>
      <c r="G289" s="24">
        <v>24544</v>
      </c>
      <c r="H289" s="23" t="s">
        <v>15</v>
      </c>
      <c r="I289" s="24">
        <v>15000</v>
      </c>
      <c r="J289" s="24">
        <f t="shared" si="4"/>
        <v>2454.4</v>
      </c>
      <c r="K289" s="25">
        <f>'Copy of All Sales'!$G289-'Copy of All Sales'!$I289</f>
        <v>9544</v>
      </c>
    </row>
    <row r="290" spans="1:11" x14ac:dyDescent="0.25">
      <c r="A290" s="18">
        <v>44531</v>
      </c>
      <c r="B290" s="19" t="s">
        <v>24</v>
      </c>
      <c r="C290" s="19" t="s">
        <v>25</v>
      </c>
      <c r="D290" s="19" t="s">
        <v>23</v>
      </c>
      <c r="E290" s="19" t="str">
        <v>Olivia Cheung</v>
      </c>
      <c r="F290" s="19" t="s">
        <v>26</v>
      </c>
      <c r="G290" s="20">
        <v>27350.400000000001</v>
      </c>
      <c r="H290" s="19" t="s">
        <v>43</v>
      </c>
      <c r="I290" s="20">
        <v>15000</v>
      </c>
      <c r="J290" s="20">
        <f t="shared" si="4"/>
        <v>2735.0400000000004</v>
      </c>
      <c r="K290" s="21">
        <f>'Copy of All Sales'!$G290-'Copy of All Sales'!$I290</f>
        <v>12350.400000000001</v>
      </c>
    </row>
    <row r="291" spans="1:11" x14ac:dyDescent="0.25">
      <c r="A291" s="22">
        <v>44531</v>
      </c>
      <c r="B291" s="23" t="s">
        <v>48</v>
      </c>
      <c r="C291" s="23" t="s">
        <v>49</v>
      </c>
      <c r="D291" s="23" t="s">
        <v>47</v>
      </c>
      <c r="E291" s="23" t="str">
        <v>Emily Whelan</v>
      </c>
      <c r="F291" s="23" t="s">
        <v>26</v>
      </c>
      <c r="G291" s="24">
        <v>28845</v>
      </c>
      <c r="H291" s="23" t="s">
        <v>15</v>
      </c>
      <c r="I291" s="24">
        <v>15000</v>
      </c>
      <c r="J291" s="24">
        <f t="shared" si="4"/>
        <v>2884.5</v>
      </c>
      <c r="K291" s="25">
        <f>'Copy of All Sales'!$G291-'Copy of All Sales'!$I291</f>
        <v>13845</v>
      </c>
    </row>
    <row r="292" spans="1:11" x14ac:dyDescent="0.25">
      <c r="A292" s="18">
        <v>44531</v>
      </c>
      <c r="B292" s="19" t="s">
        <v>24</v>
      </c>
      <c r="C292" s="19" t="s">
        <v>25</v>
      </c>
      <c r="D292" s="19" t="s">
        <v>23</v>
      </c>
      <c r="E292" s="19" t="str">
        <v>Olivia Cheung</v>
      </c>
      <c r="F292" s="19" t="s">
        <v>26</v>
      </c>
      <c r="G292" s="20">
        <v>43593.599999999999</v>
      </c>
      <c r="H292" s="19" t="s">
        <v>15</v>
      </c>
      <c r="I292" s="20">
        <v>15000</v>
      </c>
      <c r="J292" s="20">
        <f t="shared" si="4"/>
        <v>4359.3599999999997</v>
      </c>
      <c r="K292" s="21">
        <f>'Copy of All Sales'!$G292-'Copy of All Sales'!$I292</f>
        <v>28593.599999999999</v>
      </c>
    </row>
    <row r="293" spans="1:11" x14ac:dyDescent="0.25">
      <c r="A293" s="22">
        <v>44197</v>
      </c>
      <c r="B293" s="23"/>
      <c r="C293" s="23"/>
      <c r="D293" s="23"/>
      <c r="E293" s="23" t="str">
        <v/>
      </c>
      <c r="F293" s="23" t="s">
        <v>22</v>
      </c>
      <c r="G293" s="24">
        <v>3637.21</v>
      </c>
      <c r="H293" s="23" t="s">
        <v>11</v>
      </c>
      <c r="I293" s="24">
        <v>15000</v>
      </c>
      <c r="J293" s="24">
        <f t="shared" si="4"/>
        <v>0</v>
      </c>
      <c r="K293" s="25">
        <f>'Copy of All Sales'!$G293-'Copy of All Sales'!$I293</f>
        <v>-11362.79</v>
      </c>
    </row>
    <row r="294" spans="1:11" x14ac:dyDescent="0.25">
      <c r="A294" s="18">
        <v>44197</v>
      </c>
      <c r="B294" s="19"/>
      <c r="C294" s="19"/>
      <c r="D294" s="19"/>
      <c r="E294" s="19" t="str">
        <v/>
      </c>
      <c r="F294" s="19" t="s">
        <v>22</v>
      </c>
      <c r="G294" s="20">
        <v>3918.6</v>
      </c>
      <c r="H294" s="19" t="s">
        <v>15</v>
      </c>
      <c r="I294" s="20">
        <v>15000</v>
      </c>
      <c r="J294" s="20">
        <f t="shared" si="4"/>
        <v>0</v>
      </c>
      <c r="K294" s="21">
        <f>'Copy of All Sales'!$G294-'Copy of All Sales'!$I294</f>
        <v>-11081.4</v>
      </c>
    </row>
    <row r="295" spans="1:11" x14ac:dyDescent="0.25">
      <c r="A295" s="22">
        <v>44197</v>
      </c>
      <c r="B295" s="23"/>
      <c r="C295" s="23"/>
      <c r="D295" s="23" t="s">
        <v>137</v>
      </c>
      <c r="E295" s="23" t="str">
        <v/>
      </c>
      <c r="F295" s="23" t="s">
        <v>22</v>
      </c>
      <c r="G295" s="24">
        <v>694.54</v>
      </c>
      <c r="H295" s="23" t="s">
        <v>43</v>
      </c>
      <c r="I295" s="24">
        <v>15000</v>
      </c>
      <c r="J295" s="24">
        <f t="shared" si="4"/>
        <v>0</v>
      </c>
      <c r="K295" s="25">
        <f>'Copy of All Sales'!$G295-'Copy of All Sales'!$I295</f>
        <v>-14305.46</v>
      </c>
    </row>
    <row r="296" spans="1:11" x14ac:dyDescent="0.25">
      <c r="A296" s="18">
        <v>44197</v>
      </c>
      <c r="B296" s="19"/>
      <c r="C296" s="19"/>
      <c r="D296" s="19" t="s">
        <v>137</v>
      </c>
      <c r="E296" s="19" t="str">
        <v/>
      </c>
      <c r="F296" s="19" t="s">
        <v>22</v>
      </c>
      <c r="G296" s="20">
        <v>3112.72</v>
      </c>
      <c r="H296" s="19" t="s">
        <v>43</v>
      </c>
      <c r="I296" s="20">
        <v>15000</v>
      </c>
      <c r="J296" s="20">
        <f t="shared" si="4"/>
        <v>0</v>
      </c>
      <c r="K296" s="21">
        <f>'Copy of All Sales'!$G296-'Copy of All Sales'!$I296</f>
        <v>-11887.28</v>
      </c>
    </row>
    <row r="297" spans="1:11" x14ac:dyDescent="0.25">
      <c r="A297" s="22">
        <v>44197</v>
      </c>
      <c r="B297" s="23"/>
      <c r="C297" s="23"/>
      <c r="D297" s="23" t="s">
        <v>137</v>
      </c>
      <c r="E297" s="23" t="str">
        <v/>
      </c>
      <c r="F297" s="23" t="s">
        <v>22</v>
      </c>
      <c r="G297" s="24">
        <v>1001.92</v>
      </c>
      <c r="H297" s="23" t="s">
        <v>43</v>
      </c>
      <c r="I297" s="24">
        <v>15000</v>
      </c>
      <c r="J297" s="24">
        <f t="shared" si="4"/>
        <v>0</v>
      </c>
      <c r="K297" s="25">
        <f>'Copy of All Sales'!$G297-'Copy of All Sales'!$I297</f>
        <v>-13998.08</v>
      </c>
    </row>
    <row r="298" spans="1:11" x14ac:dyDescent="0.25">
      <c r="A298" s="18">
        <v>44197</v>
      </c>
      <c r="B298" s="19"/>
      <c r="C298" s="19"/>
      <c r="D298" s="19" t="s">
        <v>137</v>
      </c>
      <c r="E298" s="19" t="str">
        <v/>
      </c>
      <c r="F298" s="19" t="s">
        <v>22</v>
      </c>
      <c r="G298" s="20">
        <v>1638.5600000000002</v>
      </c>
      <c r="H298" s="19" t="s">
        <v>11</v>
      </c>
      <c r="I298" s="20">
        <v>15000</v>
      </c>
      <c r="J298" s="20">
        <f t="shared" si="4"/>
        <v>0</v>
      </c>
      <c r="K298" s="21">
        <f>'Copy of All Sales'!$G298-'Copy of All Sales'!$I298</f>
        <v>-13361.44</v>
      </c>
    </row>
    <row r="299" spans="1:11" x14ac:dyDescent="0.25">
      <c r="A299" s="22">
        <v>44197</v>
      </c>
      <c r="B299" s="23"/>
      <c r="C299" s="23"/>
      <c r="D299" s="23" t="s">
        <v>137</v>
      </c>
      <c r="E299" s="23" t="str">
        <v/>
      </c>
      <c r="F299" s="23" t="s">
        <v>22</v>
      </c>
      <c r="G299" s="24">
        <v>1910.8</v>
      </c>
      <c r="H299" s="23" t="s">
        <v>15</v>
      </c>
      <c r="I299" s="24">
        <v>15000</v>
      </c>
      <c r="J299" s="24">
        <f t="shared" si="4"/>
        <v>0</v>
      </c>
      <c r="K299" s="25">
        <f>'Copy of All Sales'!$G299-'Copy of All Sales'!$I299</f>
        <v>-13089.2</v>
      </c>
    </row>
    <row r="300" spans="1:11" x14ac:dyDescent="0.25">
      <c r="A300" s="18">
        <v>44197</v>
      </c>
      <c r="B300" s="19"/>
      <c r="C300" s="19"/>
      <c r="D300" s="19" t="s">
        <v>137</v>
      </c>
      <c r="E300" s="19" t="str">
        <v/>
      </c>
      <c r="F300" s="19" t="s">
        <v>22</v>
      </c>
      <c r="G300" s="20">
        <v>765.82</v>
      </c>
      <c r="H300" s="19" t="s">
        <v>43</v>
      </c>
      <c r="I300" s="20">
        <v>15000</v>
      </c>
      <c r="J300" s="20">
        <f t="shared" si="4"/>
        <v>0</v>
      </c>
      <c r="K300" s="21">
        <f>'Copy of All Sales'!$G300-'Copy of All Sales'!$I300</f>
        <v>-14234.18</v>
      </c>
    </row>
    <row r="301" spans="1:11" x14ac:dyDescent="0.25">
      <c r="A301" s="22">
        <v>44197</v>
      </c>
      <c r="B301" s="23"/>
      <c r="C301" s="23"/>
      <c r="D301" s="23" t="s">
        <v>137</v>
      </c>
      <c r="E301" s="23" t="str">
        <v/>
      </c>
      <c r="F301" s="23" t="s">
        <v>22</v>
      </c>
      <c r="G301" s="24">
        <v>765.8599999999999</v>
      </c>
      <c r="H301" s="23" t="s">
        <v>15</v>
      </c>
      <c r="I301" s="24">
        <v>15000</v>
      </c>
      <c r="J301" s="24">
        <f t="shared" si="4"/>
        <v>0</v>
      </c>
      <c r="K301" s="25">
        <f>'Copy of All Sales'!$G301-'Copy of All Sales'!$I301</f>
        <v>-14234.14</v>
      </c>
    </row>
    <row r="302" spans="1:11" x14ac:dyDescent="0.25">
      <c r="A302" s="18">
        <v>44197</v>
      </c>
      <c r="B302" s="19"/>
      <c r="C302" s="19"/>
      <c r="D302" s="19" t="s">
        <v>137</v>
      </c>
      <c r="E302" s="19" t="str">
        <v/>
      </c>
      <c r="F302" s="19" t="s">
        <v>22</v>
      </c>
      <c r="G302" s="20">
        <v>4671.5999999999995</v>
      </c>
      <c r="H302" s="19" t="s">
        <v>11</v>
      </c>
      <c r="I302" s="20">
        <v>15000</v>
      </c>
      <c r="J302" s="20">
        <f t="shared" si="4"/>
        <v>0</v>
      </c>
      <c r="K302" s="21">
        <f>'Copy of All Sales'!$G302-'Copy of All Sales'!$I302</f>
        <v>-10328.400000000001</v>
      </c>
    </row>
    <row r="303" spans="1:11" x14ac:dyDescent="0.25">
      <c r="A303" s="22">
        <v>44197</v>
      </c>
      <c r="B303" s="23"/>
      <c r="C303" s="23"/>
      <c r="D303" s="23" t="s">
        <v>137</v>
      </c>
      <c r="E303" s="23" t="str">
        <v/>
      </c>
      <c r="F303" s="23" t="s">
        <v>22</v>
      </c>
      <c r="G303" s="24">
        <v>1945.6</v>
      </c>
      <c r="H303" s="23" t="s">
        <v>11</v>
      </c>
      <c r="I303" s="24">
        <v>15000</v>
      </c>
      <c r="J303" s="24">
        <f t="shared" si="4"/>
        <v>0</v>
      </c>
      <c r="K303" s="25">
        <f>'Copy of All Sales'!$G303-'Copy of All Sales'!$I303</f>
        <v>-13054.4</v>
      </c>
    </row>
    <row r="304" spans="1:11" x14ac:dyDescent="0.25">
      <c r="A304" s="18">
        <v>44197</v>
      </c>
      <c r="B304" s="19"/>
      <c r="C304" s="19"/>
      <c r="D304" s="19" t="s">
        <v>137</v>
      </c>
      <c r="E304" s="19" t="str">
        <v/>
      </c>
      <c r="F304" s="19" t="s">
        <v>22</v>
      </c>
      <c r="G304" s="20">
        <v>1017.6</v>
      </c>
      <c r="H304" s="19" t="s">
        <v>15</v>
      </c>
      <c r="I304" s="20">
        <v>15000</v>
      </c>
      <c r="J304" s="20">
        <f t="shared" si="4"/>
        <v>0</v>
      </c>
      <c r="K304" s="21">
        <f>'Copy of All Sales'!$G304-'Copy of All Sales'!$I304</f>
        <v>-13982.4</v>
      </c>
    </row>
    <row r="305" spans="1:11" x14ac:dyDescent="0.25">
      <c r="A305" s="22">
        <v>44197</v>
      </c>
      <c r="B305" s="23"/>
      <c r="C305" s="23"/>
      <c r="D305" s="23" t="s">
        <v>137</v>
      </c>
      <c r="E305" s="23" t="str">
        <v/>
      </c>
      <c r="F305" s="23" t="s">
        <v>22</v>
      </c>
      <c r="G305" s="24">
        <v>909.86</v>
      </c>
      <c r="H305" s="23" t="s">
        <v>43</v>
      </c>
      <c r="I305" s="24">
        <v>15000</v>
      </c>
      <c r="J305" s="24">
        <f t="shared" si="4"/>
        <v>0</v>
      </c>
      <c r="K305" s="25">
        <f>'Copy of All Sales'!$G305-'Copy of All Sales'!$I305</f>
        <v>-14090.14</v>
      </c>
    </row>
    <row r="306" spans="1:11" x14ac:dyDescent="0.25">
      <c r="A306" s="18">
        <v>44197</v>
      </c>
      <c r="B306" s="19" t="s">
        <v>20</v>
      </c>
      <c r="C306" s="19" t="s">
        <v>21</v>
      </c>
      <c r="D306" s="19" t="s">
        <v>19</v>
      </c>
      <c r="E306" s="19" t="str">
        <v>Nina McDonald</v>
      </c>
      <c r="F306" s="19" t="s">
        <v>22</v>
      </c>
      <c r="G306" s="20">
        <v>6945.4</v>
      </c>
      <c r="H306" s="19" t="s">
        <v>43</v>
      </c>
      <c r="I306" s="20">
        <v>15000</v>
      </c>
      <c r="J306" s="20">
        <f t="shared" si="4"/>
        <v>0</v>
      </c>
      <c r="K306" s="21">
        <f>'Copy of All Sales'!$G306-'Copy of All Sales'!$I306</f>
        <v>-8054.6</v>
      </c>
    </row>
    <row r="307" spans="1:11" x14ac:dyDescent="0.25">
      <c r="A307" s="22">
        <v>44197</v>
      </c>
      <c r="B307" s="23" t="s">
        <v>20</v>
      </c>
      <c r="C307" s="23" t="s">
        <v>21</v>
      </c>
      <c r="D307" s="23" t="s">
        <v>19</v>
      </c>
      <c r="E307" s="23" t="str">
        <v>Nina McDonald</v>
      </c>
      <c r="F307" s="23" t="s">
        <v>22</v>
      </c>
      <c r="G307" s="24">
        <v>7658.2000000000007</v>
      </c>
      <c r="H307" s="23" t="s">
        <v>43</v>
      </c>
      <c r="I307" s="24">
        <v>15000</v>
      </c>
      <c r="J307" s="24">
        <f t="shared" si="4"/>
        <v>0</v>
      </c>
      <c r="K307" s="25">
        <f>'Copy of All Sales'!$G307-'Copy of All Sales'!$I307</f>
        <v>-7341.7999999999993</v>
      </c>
    </row>
    <row r="308" spans="1:11" x14ac:dyDescent="0.25">
      <c r="A308" s="18">
        <v>44197</v>
      </c>
      <c r="B308" s="19" t="s">
        <v>45</v>
      </c>
      <c r="C308" s="19" t="s">
        <v>46</v>
      </c>
      <c r="D308" s="19" t="s">
        <v>44</v>
      </c>
      <c r="E308" s="19" t="str">
        <v>Ally Bryant</v>
      </c>
      <c r="F308" s="19" t="s">
        <v>22</v>
      </c>
      <c r="G308" s="20">
        <v>7658.5999999999985</v>
      </c>
      <c r="H308" s="19" t="s">
        <v>15</v>
      </c>
      <c r="I308" s="20">
        <v>15000</v>
      </c>
      <c r="J308" s="20">
        <f t="shared" si="4"/>
        <v>0</v>
      </c>
      <c r="K308" s="21">
        <f>'Copy of All Sales'!$G308-'Copy of All Sales'!$I308</f>
        <v>-7341.4000000000015</v>
      </c>
    </row>
    <row r="309" spans="1:11" x14ac:dyDescent="0.25">
      <c r="A309" s="22">
        <v>44197</v>
      </c>
      <c r="B309" s="23" t="s">
        <v>54</v>
      </c>
      <c r="C309" s="23" t="s">
        <v>55</v>
      </c>
      <c r="D309" s="23" t="s">
        <v>53</v>
      </c>
      <c r="E309" s="23" t="str">
        <v>Josh Sutherland</v>
      </c>
      <c r="F309" s="23" t="s">
        <v>22</v>
      </c>
      <c r="G309" s="24">
        <v>9098.6</v>
      </c>
      <c r="H309" s="23" t="s">
        <v>43</v>
      </c>
      <c r="I309" s="24">
        <v>15000</v>
      </c>
      <c r="J309" s="24">
        <f t="shared" si="4"/>
        <v>0</v>
      </c>
      <c r="K309" s="25">
        <f>'Copy of All Sales'!$G309-'Copy of All Sales'!$I309</f>
        <v>-5901.4</v>
      </c>
    </row>
    <row r="310" spans="1:11" x14ac:dyDescent="0.25">
      <c r="A310" s="18">
        <v>44197</v>
      </c>
      <c r="B310" s="19" t="s">
        <v>20</v>
      </c>
      <c r="C310" s="19" t="s">
        <v>21</v>
      </c>
      <c r="D310" s="19" t="s">
        <v>19</v>
      </c>
      <c r="E310" s="19" t="str">
        <v>Nina McDonald</v>
      </c>
      <c r="F310" s="19" t="s">
        <v>22</v>
      </c>
      <c r="G310" s="20">
        <v>10019.199999999999</v>
      </c>
      <c r="H310" s="19" t="s">
        <v>43</v>
      </c>
      <c r="I310" s="20">
        <v>15000</v>
      </c>
      <c r="J310" s="20">
        <f t="shared" si="4"/>
        <v>0</v>
      </c>
      <c r="K310" s="21">
        <f>'Copy of All Sales'!$G310-'Copy of All Sales'!$I310</f>
        <v>-4980.8000000000011</v>
      </c>
    </row>
    <row r="311" spans="1:11" x14ac:dyDescent="0.25">
      <c r="A311" s="22">
        <v>44197</v>
      </c>
      <c r="B311" s="23" t="s">
        <v>45</v>
      </c>
      <c r="C311" s="23" t="s">
        <v>46</v>
      </c>
      <c r="D311" s="23" t="s">
        <v>44</v>
      </c>
      <c r="E311" s="23" t="str">
        <v>Ally Bryant</v>
      </c>
      <c r="F311" s="23" t="s">
        <v>22</v>
      </c>
      <c r="G311" s="24">
        <v>10176</v>
      </c>
      <c r="H311" s="23" t="s">
        <v>15</v>
      </c>
      <c r="I311" s="24">
        <v>15000</v>
      </c>
      <c r="J311" s="24">
        <f t="shared" si="4"/>
        <v>0</v>
      </c>
      <c r="K311" s="25">
        <f>'Copy of All Sales'!$G311-'Copy of All Sales'!$I311</f>
        <v>-4824</v>
      </c>
    </row>
    <row r="312" spans="1:11" x14ac:dyDescent="0.25">
      <c r="A312" s="18">
        <v>44197</v>
      </c>
      <c r="B312" s="19" t="s">
        <v>54</v>
      </c>
      <c r="C312" s="19" t="s">
        <v>55</v>
      </c>
      <c r="D312" s="19" t="s">
        <v>53</v>
      </c>
      <c r="E312" s="19" t="str">
        <v>Josh Sutherland</v>
      </c>
      <c r="F312" s="19" t="s">
        <v>22</v>
      </c>
      <c r="G312" s="20">
        <v>16385.600000000002</v>
      </c>
      <c r="H312" s="19" t="s">
        <v>11</v>
      </c>
      <c r="I312" s="20">
        <v>15000</v>
      </c>
      <c r="J312" s="20">
        <f t="shared" si="4"/>
        <v>1638.5600000000004</v>
      </c>
      <c r="K312" s="21">
        <f>'Copy of All Sales'!$G312-'Copy of All Sales'!$I312</f>
        <v>1385.6000000000022</v>
      </c>
    </row>
    <row r="313" spans="1:11" x14ac:dyDescent="0.25">
      <c r="A313" s="22">
        <v>44197</v>
      </c>
      <c r="B313" s="23" t="s">
        <v>45</v>
      </c>
      <c r="C313" s="23" t="s">
        <v>46</v>
      </c>
      <c r="D313" s="23" t="s">
        <v>44</v>
      </c>
      <c r="E313" s="23" t="str">
        <v>Ally Bryant</v>
      </c>
      <c r="F313" s="23" t="s">
        <v>22</v>
      </c>
      <c r="G313" s="24">
        <v>19108</v>
      </c>
      <c r="H313" s="23" t="s">
        <v>15</v>
      </c>
      <c r="I313" s="24">
        <v>15000</v>
      </c>
      <c r="J313" s="24">
        <f t="shared" si="4"/>
        <v>1910.8000000000002</v>
      </c>
      <c r="K313" s="25">
        <f>'Copy of All Sales'!$G313-'Copy of All Sales'!$I313</f>
        <v>4108</v>
      </c>
    </row>
    <row r="314" spans="1:11" x14ac:dyDescent="0.25">
      <c r="A314" s="18">
        <v>44197</v>
      </c>
      <c r="B314" s="19" t="s">
        <v>20</v>
      </c>
      <c r="C314" s="19" t="s">
        <v>21</v>
      </c>
      <c r="D314" s="19" t="s">
        <v>19</v>
      </c>
      <c r="E314" s="19" t="str">
        <v>Nina McDonald</v>
      </c>
      <c r="F314" s="19" t="s">
        <v>22</v>
      </c>
      <c r="G314" s="20">
        <v>19456</v>
      </c>
      <c r="H314" s="19" t="s">
        <v>11</v>
      </c>
      <c r="I314" s="20">
        <v>15000</v>
      </c>
      <c r="J314" s="20">
        <f t="shared" si="4"/>
        <v>1945.6000000000001</v>
      </c>
      <c r="K314" s="21">
        <f>'Copy of All Sales'!$G314-'Copy of All Sales'!$I314</f>
        <v>4456</v>
      </c>
    </row>
    <row r="315" spans="1:11" x14ac:dyDescent="0.25">
      <c r="A315" s="22">
        <v>44197</v>
      </c>
      <c r="B315" s="23" t="s">
        <v>66</v>
      </c>
      <c r="C315" s="23" t="s">
        <v>67</v>
      </c>
      <c r="D315" s="23" t="s">
        <v>65</v>
      </c>
      <c r="E315" s="23" t="str">
        <v>Spencer Cruz</v>
      </c>
      <c r="F315" s="23" t="s">
        <v>22</v>
      </c>
      <c r="G315" s="24">
        <v>31127.199999999997</v>
      </c>
      <c r="H315" s="23" t="s">
        <v>43</v>
      </c>
      <c r="I315" s="24">
        <v>15000</v>
      </c>
      <c r="J315" s="24">
        <f t="shared" si="4"/>
        <v>3112.72</v>
      </c>
      <c r="K315" s="25">
        <f>'Copy of All Sales'!$G315-'Copy of All Sales'!$I315</f>
        <v>16127.199999999997</v>
      </c>
    </row>
    <row r="316" spans="1:11" x14ac:dyDescent="0.25">
      <c r="A316" s="18">
        <v>44197</v>
      </c>
      <c r="B316" s="19" t="s">
        <v>66</v>
      </c>
      <c r="C316" s="19" t="s">
        <v>67</v>
      </c>
      <c r="D316" s="19" t="s">
        <v>65</v>
      </c>
      <c r="E316" s="19" t="str">
        <v>Spencer Cruz</v>
      </c>
      <c r="F316" s="19" t="s">
        <v>22</v>
      </c>
      <c r="G316" s="20">
        <v>36372.1</v>
      </c>
      <c r="H316" s="19" t="s">
        <v>11</v>
      </c>
      <c r="I316" s="20">
        <v>15000</v>
      </c>
      <c r="J316" s="20">
        <f t="shared" si="4"/>
        <v>3637.21</v>
      </c>
      <c r="K316" s="21">
        <f>'Copy of All Sales'!$G316-'Copy of All Sales'!$I316</f>
        <v>21372.1</v>
      </c>
    </row>
    <row r="317" spans="1:11" x14ac:dyDescent="0.25">
      <c r="A317" s="22">
        <v>44197</v>
      </c>
      <c r="B317" s="23" t="s">
        <v>45</v>
      </c>
      <c r="C317" s="23" t="s">
        <v>46</v>
      </c>
      <c r="D317" s="23" t="s">
        <v>44</v>
      </c>
      <c r="E317" s="23" t="str">
        <v>Ally Bryant</v>
      </c>
      <c r="F317" s="23" t="s">
        <v>22</v>
      </c>
      <c r="G317" s="24">
        <v>39186</v>
      </c>
      <c r="H317" s="23" t="s">
        <v>15</v>
      </c>
      <c r="I317" s="24">
        <v>15000</v>
      </c>
      <c r="J317" s="24">
        <f t="shared" si="4"/>
        <v>3918.6000000000004</v>
      </c>
      <c r="K317" s="25">
        <f>'Copy of All Sales'!$G317-'Copy of All Sales'!$I317</f>
        <v>24186</v>
      </c>
    </row>
    <row r="318" spans="1:11" x14ac:dyDescent="0.25">
      <c r="A318" s="18">
        <v>44197</v>
      </c>
      <c r="B318" s="19" t="s">
        <v>66</v>
      </c>
      <c r="C318" s="19" t="s">
        <v>67</v>
      </c>
      <c r="D318" s="19" t="s">
        <v>65</v>
      </c>
      <c r="E318" s="19" t="str">
        <v>Spencer Cruz</v>
      </c>
      <c r="F318" s="19" t="s">
        <v>22</v>
      </c>
      <c r="G318" s="20">
        <v>46715.999999999993</v>
      </c>
      <c r="H318" s="19" t="s">
        <v>11</v>
      </c>
      <c r="I318" s="20">
        <v>15000</v>
      </c>
      <c r="J318" s="20">
        <f t="shared" si="4"/>
        <v>4671.5999999999995</v>
      </c>
      <c r="K318" s="21">
        <f>'Copy of All Sales'!$G318-'Copy of All Sales'!$I318</f>
        <v>31715.999999999993</v>
      </c>
    </row>
    <row r="319" spans="1:11" x14ac:dyDescent="0.25">
      <c r="A319" s="22">
        <v>44228</v>
      </c>
      <c r="B319" s="23"/>
      <c r="C319" s="23"/>
      <c r="D319" s="23" t="s">
        <v>137</v>
      </c>
      <c r="E319" s="23" t="str">
        <v/>
      </c>
      <c r="F319" s="23" t="s">
        <v>22</v>
      </c>
      <c r="G319" s="24">
        <v>734.32</v>
      </c>
      <c r="H319" s="23" t="s">
        <v>15</v>
      </c>
      <c r="I319" s="24">
        <v>15000</v>
      </c>
      <c r="J319" s="24">
        <f t="shared" si="4"/>
        <v>0</v>
      </c>
      <c r="K319" s="25">
        <f>'Copy of All Sales'!$G319-'Copy of All Sales'!$I319</f>
        <v>-14265.68</v>
      </c>
    </row>
    <row r="320" spans="1:11" x14ac:dyDescent="0.25">
      <c r="A320" s="18">
        <v>44228</v>
      </c>
      <c r="B320" s="19"/>
      <c r="C320" s="19"/>
      <c r="D320" s="19" t="s">
        <v>137</v>
      </c>
      <c r="E320" s="19" t="str">
        <v/>
      </c>
      <c r="F320" s="19" t="s">
        <v>22</v>
      </c>
      <c r="G320" s="20">
        <v>2839.55</v>
      </c>
      <c r="H320" s="19" t="s">
        <v>43</v>
      </c>
      <c r="I320" s="20">
        <v>15000</v>
      </c>
      <c r="J320" s="20">
        <f t="shared" si="4"/>
        <v>0</v>
      </c>
      <c r="K320" s="21">
        <f>'Copy of All Sales'!$G320-'Copy of All Sales'!$I320</f>
        <v>-12160.45</v>
      </c>
    </row>
    <row r="321" spans="1:11" x14ac:dyDescent="0.25">
      <c r="A321" s="22">
        <v>44228</v>
      </c>
      <c r="B321" s="23"/>
      <c r="C321" s="23"/>
      <c r="D321" s="23" t="s">
        <v>137</v>
      </c>
      <c r="E321" s="23" t="str">
        <v/>
      </c>
      <c r="F321" s="23" t="s">
        <v>22</v>
      </c>
      <c r="G321" s="24">
        <v>453.09999999999997</v>
      </c>
      <c r="H321" s="23" t="s">
        <v>43</v>
      </c>
      <c r="I321" s="24">
        <v>15000</v>
      </c>
      <c r="J321" s="24">
        <f t="shared" si="4"/>
        <v>0</v>
      </c>
      <c r="K321" s="25">
        <f>'Copy of All Sales'!$G321-'Copy of All Sales'!$I321</f>
        <v>-14546.9</v>
      </c>
    </row>
    <row r="322" spans="1:11" x14ac:dyDescent="0.25">
      <c r="A322" s="18">
        <v>44228</v>
      </c>
      <c r="B322" s="19"/>
      <c r="C322" s="19"/>
      <c r="D322" s="19" t="s">
        <v>137</v>
      </c>
      <c r="E322" s="19" t="str">
        <v/>
      </c>
      <c r="F322" s="19" t="s">
        <v>22</v>
      </c>
      <c r="G322" s="20">
        <v>1774.8</v>
      </c>
      <c r="H322" s="19" t="s">
        <v>11</v>
      </c>
      <c r="I322" s="20">
        <v>15000</v>
      </c>
      <c r="J322" s="20">
        <f t="shared" ref="J322:J385" si="5">IF(G322&gt;=I322,G322*$M$2,0)</f>
        <v>0</v>
      </c>
      <c r="K322" s="21">
        <f>'Copy of All Sales'!$G322-'Copy of All Sales'!$I322</f>
        <v>-13225.2</v>
      </c>
    </row>
    <row r="323" spans="1:11" x14ac:dyDescent="0.25">
      <c r="A323" s="22">
        <v>44228</v>
      </c>
      <c r="B323" s="23"/>
      <c r="C323" s="23"/>
      <c r="D323" s="23" t="s">
        <v>137</v>
      </c>
      <c r="E323" s="23" t="str">
        <v/>
      </c>
      <c r="F323" s="23" t="s">
        <v>22</v>
      </c>
      <c r="G323" s="24">
        <v>735.66</v>
      </c>
      <c r="H323" s="23" t="s">
        <v>11</v>
      </c>
      <c r="I323" s="24">
        <v>15000</v>
      </c>
      <c r="J323" s="24">
        <f t="shared" si="5"/>
        <v>0</v>
      </c>
      <c r="K323" s="25">
        <f>'Copy of All Sales'!$G323-'Copy of All Sales'!$I323</f>
        <v>-14264.34</v>
      </c>
    </row>
    <row r="324" spans="1:11" x14ac:dyDescent="0.25">
      <c r="A324" s="18">
        <v>44228</v>
      </c>
      <c r="B324" s="19"/>
      <c r="C324" s="19"/>
      <c r="D324" s="19" t="s">
        <v>137</v>
      </c>
      <c r="E324" s="19" t="str">
        <v/>
      </c>
      <c r="F324" s="19" t="s">
        <v>22</v>
      </c>
      <c r="G324" s="20">
        <v>675.18</v>
      </c>
      <c r="H324" s="19" t="s">
        <v>15</v>
      </c>
      <c r="I324" s="20">
        <v>15000</v>
      </c>
      <c r="J324" s="20">
        <f t="shared" si="5"/>
        <v>0</v>
      </c>
      <c r="K324" s="21">
        <f>'Copy of All Sales'!$G324-'Copy of All Sales'!$I324</f>
        <v>-14324.82</v>
      </c>
    </row>
    <row r="325" spans="1:11" x14ac:dyDescent="0.25">
      <c r="A325" s="22">
        <v>44228</v>
      </c>
      <c r="B325" s="23"/>
      <c r="C325" s="23"/>
      <c r="D325" s="23" t="s">
        <v>137</v>
      </c>
      <c r="E325" s="23" t="str">
        <v/>
      </c>
      <c r="F325" s="23" t="s">
        <v>22</v>
      </c>
      <c r="G325" s="24">
        <v>4142.95</v>
      </c>
      <c r="H325" s="23" t="s">
        <v>15</v>
      </c>
      <c r="I325" s="24">
        <v>15000</v>
      </c>
      <c r="J325" s="24">
        <f t="shared" si="5"/>
        <v>0</v>
      </c>
      <c r="K325" s="25">
        <f>'Copy of All Sales'!$G325-'Copy of All Sales'!$I325</f>
        <v>-10857.05</v>
      </c>
    </row>
    <row r="326" spans="1:11" x14ac:dyDescent="0.25">
      <c r="A326" s="18">
        <v>44228</v>
      </c>
      <c r="B326" s="19" t="s">
        <v>20</v>
      </c>
      <c r="C326" s="19" t="s">
        <v>21</v>
      </c>
      <c r="D326" s="19" t="s">
        <v>19</v>
      </c>
      <c r="E326" s="19" t="str">
        <v>Nina McDonald</v>
      </c>
      <c r="F326" s="19" t="s">
        <v>22</v>
      </c>
      <c r="G326" s="20">
        <v>4531</v>
      </c>
      <c r="H326" s="19" t="s">
        <v>43</v>
      </c>
      <c r="I326" s="20">
        <v>15000</v>
      </c>
      <c r="J326" s="20">
        <f t="shared" si="5"/>
        <v>0</v>
      </c>
      <c r="K326" s="21">
        <f>'Copy of All Sales'!$G326-'Copy of All Sales'!$I326</f>
        <v>-10469</v>
      </c>
    </row>
    <row r="327" spans="1:11" x14ac:dyDescent="0.25">
      <c r="A327" s="22">
        <v>44228</v>
      </c>
      <c r="B327" s="23" t="s">
        <v>38</v>
      </c>
      <c r="C327" s="23" t="s">
        <v>39</v>
      </c>
      <c r="D327" s="23" t="s">
        <v>37</v>
      </c>
      <c r="E327" s="23" t="str">
        <v>Tia Cruise</v>
      </c>
      <c r="F327" s="23" t="s">
        <v>22</v>
      </c>
      <c r="G327" s="24">
        <v>6751.7999999999993</v>
      </c>
      <c r="H327" s="23" t="s">
        <v>15</v>
      </c>
      <c r="I327" s="24">
        <v>15000</v>
      </c>
      <c r="J327" s="24">
        <f t="shared" si="5"/>
        <v>0</v>
      </c>
      <c r="K327" s="25">
        <f>'Copy of All Sales'!$G327-'Copy of All Sales'!$I327</f>
        <v>-8248.2000000000007</v>
      </c>
    </row>
    <row r="328" spans="1:11" x14ac:dyDescent="0.25">
      <c r="A328" s="18">
        <v>44228</v>
      </c>
      <c r="B328" s="19" t="s">
        <v>20</v>
      </c>
      <c r="C328" s="19" t="s">
        <v>21</v>
      </c>
      <c r="D328" s="19" t="s">
        <v>19</v>
      </c>
      <c r="E328" s="19" t="str">
        <v>Nina McDonald</v>
      </c>
      <c r="F328" s="19" t="s">
        <v>22</v>
      </c>
      <c r="G328" s="20">
        <v>7343.2000000000007</v>
      </c>
      <c r="H328" s="19" t="s">
        <v>15</v>
      </c>
      <c r="I328" s="20">
        <v>15000</v>
      </c>
      <c r="J328" s="20">
        <f t="shared" si="5"/>
        <v>0</v>
      </c>
      <c r="K328" s="21">
        <f>'Copy of All Sales'!$G328-'Copy of All Sales'!$I328</f>
        <v>-7656.7999999999993</v>
      </c>
    </row>
    <row r="329" spans="1:11" x14ac:dyDescent="0.25">
      <c r="A329" s="22">
        <v>44228</v>
      </c>
      <c r="B329" s="23" t="s">
        <v>20</v>
      </c>
      <c r="C329" s="23" t="s">
        <v>21</v>
      </c>
      <c r="D329" s="23" t="s">
        <v>19</v>
      </c>
      <c r="E329" s="23" t="str">
        <v>Nina McDonald</v>
      </c>
      <c r="F329" s="23" t="s">
        <v>22</v>
      </c>
      <c r="G329" s="24">
        <v>7356.5999999999995</v>
      </c>
      <c r="H329" s="23" t="s">
        <v>11</v>
      </c>
      <c r="I329" s="24">
        <v>15000</v>
      </c>
      <c r="J329" s="24">
        <f t="shared" si="5"/>
        <v>0</v>
      </c>
      <c r="K329" s="25">
        <f>'Copy of All Sales'!$G329-'Copy of All Sales'!$I329</f>
        <v>-7643.4000000000005</v>
      </c>
    </row>
    <row r="330" spans="1:11" x14ac:dyDescent="0.25">
      <c r="A330" s="18">
        <v>44228</v>
      </c>
      <c r="B330" s="19" t="s">
        <v>38</v>
      </c>
      <c r="C330" s="19" t="s">
        <v>39</v>
      </c>
      <c r="D330" s="19" t="s">
        <v>37</v>
      </c>
      <c r="E330" s="19" t="str">
        <v>Tia Cruise</v>
      </c>
      <c r="F330" s="19" t="s">
        <v>22</v>
      </c>
      <c r="G330" s="20">
        <v>17748</v>
      </c>
      <c r="H330" s="19" t="s">
        <v>11</v>
      </c>
      <c r="I330" s="20">
        <v>15000</v>
      </c>
      <c r="J330" s="20">
        <f t="shared" si="5"/>
        <v>1774.8000000000002</v>
      </c>
      <c r="K330" s="21">
        <f>'Copy of All Sales'!$G330-'Copy of All Sales'!$I330</f>
        <v>2748</v>
      </c>
    </row>
    <row r="331" spans="1:11" x14ac:dyDescent="0.25">
      <c r="A331" s="22">
        <v>44228</v>
      </c>
      <c r="B331" s="23" t="s">
        <v>20</v>
      </c>
      <c r="C331" s="23" t="s">
        <v>21</v>
      </c>
      <c r="D331" s="23" t="s">
        <v>19</v>
      </c>
      <c r="E331" s="23" t="str">
        <v>Nina McDonald</v>
      </c>
      <c r="F331" s="23" t="s">
        <v>22</v>
      </c>
      <c r="G331" s="24">
        <v>28395.5</v>
      </c>
      <c r="H331" s="23" t="s">
        <v>43</v>
      </c>
      <c r="I331" s="24">
        <v>15000</v>
      </c>
      <c r="J331" s="24">
        <f t="shared" si="5"/>
        <v>2839.55</v>
      </c>
      <c r="K331" s="25">
        <f>'Copy of All Sales'!$G331-'Copy of All Sales'!$I331</f>
        <v>13395.5</v>
      </c>
    </row>
    <row r="332" spans="1:11" x14ac:dyDescent="0.25">
      <c r="A332" s="18">
        <v>44228</v>
      </c>
      <c r="B332" s="19" t="s">
        <v>45</v>
      </c>
      <c r="C332" s="19" t="s">
        <v>46</v>
      </c>
      <c r="D332" s="19" t="s">
        <v>44</v>
      </c>
      <c r="E332" s="19" t="str">
        <v>Ally Bryant</v>
      </c>
      <c r="F332" s="19" t="s">
        <v>22</v>
      </c>
      <c r="G332" s="20">
        <v>41429.5</v>
      </c>
      <c r="H332" s="19" t="s">
        <v>15</v>
      </c>
      <c r="I332" s="20">
        <v>15000</v>
      </c>
      <c r="J332" s="20">
        <f t="shared" si="5"/>
        <v>4142.95</v>
      </c>
      <c r="K332" s="21">
        <f>'Copy of All Sales'!$G332-'Copy of All Sales'!$I332</f>
        <v>26429.5</v>
      </c>
    </row>
    <row r="333" spans="1:11" x14ac:dyDescent="0.25">
      <c r="A333" s="22">
        <v>44256</v>
      </c>
      <c r="B333" s="23"/>
      <c r="C333" s="23"/>
      <c r="D333" s="23" t="s">
        <v>137</v>
      </c>
      <c r="E333" s="23" t="str">
        <v/>
      </c>
      <c r="F333" s="23" t="s">
        <v>22</v>
      </c>
      <c r="G333" s="24">
        <v>1045.1199999999999</v>
      </c>
      <c r="H333" s="23" t="s">
        <v>11</v>
      </c>
      <c r="I333" s="24">
        <v>15000</v>
      </c>
      <c r="J333" s="24">
        <f t="shared" si="5"/>
        <v>0</v>
      </c>
      <c r="K333" s="25">
        <f>'Copy of All Sales'!$G333-'Copy of All Sales'!$I333</f>
        <v>-13954.880000000001</v>
      </c>
    </row>
    <row r="334" spans="1:11" x14ac:dyDescent="0.25">
      <c r="A334" s="18">
        <v>44256</v>
      </c>
      <c r="B334" s="19"/>
      <c r="C334" s="19"/>
      <c r="D334" s="19" t="s">
        <v>137</v>
      </c>
      <c r="E334" s="19" t="str">
        <v/>
      </c>
      <c r="F334" s="19" t="s">
        <v>22</v>
      </c>
      <c r="G334" s="20">
        <v>1432.95</v>
      </c>
      <c r="H334" s="19" t="s">
        <v>11</v>
      </c>
      <c r="I334" s="20">
        <v>15000</v>
      </c>
      <c r="J334" s="20">
        <f t="shared" si="5"/>
        <v>0</v>
      </c>
      <c r="K334" s="21">
        <f>'Copy of All Sales'!$G334-'Copy of All Sales'!$I334</f>
        <v>-13567.05</v>
      </c>
    </row>
    <row r="335" spans="1:11" x14ac:dyDescent="0.25">
      <c r="A335" s="22">
        <v>44256</v>
      </c>
      <c r="B335" s="23"/>
      <c r="C335" s="23"/>
      <c r="D335" s="23" t="s">
        <v>137</v>
      </c>
      <c r="E335" s="23" t="str">
        <v/>
      </c>
      <c r="F335" s="23" t="s">
        <v>22</v>
      </c>
      <c r="G335" s="24">
        <v>3140.7</v>
      </c>
      <c r="H335" s="23" t="s">
        <v>15</v>
      </c>
      <c r="I335" s="24">
        <v>15000</v>
      </c>
      <c r="J335" s="24">
        <f t="shared" si="5"/>
        <v>0</v>
      </c>
      <c r="K335" s="25">
        <f>'Copy of All Sales'!$G335-'Copy of All Sales'!$I335</f>
        <v>-11859.3</v>
      </c>
    </row>
    <row r="336" spans="1:11" x14ac:dyDescent="0.25">
      <c r="A336" s="18">
        <v>44256</v>
      </c>
      <c r="B336" s="19"/>
      <c r="C336" s="19"/>
      <c r="D336" s="19" t="s">
        <v>137</v>
      </c>
      <c r="E336" s="19" t="str">
        <v/>
      </c>
      <c r="F336" s="19" t="s">
        <v>22</v>
      </c>
      <c r="G336" s="20">
        <v>869.4</v>
      </c>
      <c r="H336" s="19" t="s">
        <v>11</v>
      </c>
      <c r="I336" s="20">
        <v>15000</v>
      </c>
      <c r="J336" s="20">
        <f t="shared" si="5"/>
        <v>0</v>
      </c>
      <c r="K336" s="21">
        <f>'Copy of All Sales'!$G336-'Copy of All Sales'!$I336</f>
        <v>-14130.6</v>
      </c>
    </row>
    <row r="337" spans="1:11" x14ac:dyDescent="0.25">
      <c r="A337" s="22">
        <v>44256</v>
      </c>
      <c r="B337" s="23"/>
      <c r="C337" s="23"/>
      <c r="D337" s="23" t="s">
        <v>137</v>
      </c>
      <c r="E337" s="23" t="str">
        <v/>
      </c>
      <c r="F337" s="23" t="s">
        <v>22</v>
      </c>
      <c r="G337" s="24">
        <v>3564.75</v>
      </c>
      <c r="H337" s="23" t="s">
        <v>43</v>
      </c>
      <c r="I337" s="24">
        <v>15000</v>
      </c>
      <c r="J337" s="24">
        <f t="shared" si="5"/>
        <v>0</v>
      </c>
      <c r="K337" s="25">
        <f>'Copy of All Sales'!$G337-'Copy of All Sales'!$I337</f>
        <v>-11435.25</v>
      </c>
    </row>
    <row r="338" spans="1:11" x14ac:dyDescent="0.25">
      <c r="A338" s="18">
        <v>44256</v>
      </c>
      <c r="B338" s="19"/>
      <c r="C338" s="19"/>
      <c r="D338" s="19" t="s">
        <v>137</v>
      </c>
      <c r="E338" s="19" t="str">
        <v/>
      </c>
      <c r="F338" s="19" t="s">
        <v>22</v>
      </c>
      <c r="G338" s="20">
        <v>911.6</v>
      </c>
      <c r="H338" s="19" t="s">
        <v>11</v>
      </c>
      <c r="I338" s="20">
        <v>15000</v>
      </c>
      <c r="J338" s="20">
        <f t="shared" si="5"/>
        <v>0</v>
      </c>
      <c r="K338" s="21">
        <f>'Copy of All Sales'!$G338-'Copy of All Sales'!$I338</f>
        <v>-14088.4</v>
      </c>
    </row>
    <row r="339" spans="1:11" x14ac:dyDescent="0.25">
      <c r="A339" s="22">
        <v>44256</v>
      </c>
      <c r="B339" s="23"/>
      <c r="C339" s="23"/>
      <c r="D339" s="23" t="s">
        <v>137</v>
      </c>
      <c r="E339" s="23" t="str">
        <v/>
      </c>
      <c r="F339" s="23" t="s">
        <v>22</v>
      </c>
      <c r="G339" s="24">
        <v>1011.0299999999999</v>
      </c>
      <c r="H339" s="23" t="s">
        <v>11</v>
      </c>
      <c r="I339" s="24">
        <v>15000</v>
      </c>
      <c r="J339" s="24">
        <f t="shared" si="5"/>
        <v>0</v>
      </c>
      <c r="K339" s="25">
        <f>'Copy of All Sales'!$G339-'Copy of All Sales'!$I339</f>
        <v>-13988.97</v>
      </c>
    </row>
    <row r="340" spans="1:11" x14ac:dyDescent="0.25">
      <c r="A340" s="18">
        <v>44256</v>
      </c>
      <c r="B340" s="19"/>
      <c r="C340" s="19"/>
      <c r="D340" s="19" t="s">
        <v>137</v>
      </c>
      <c r="E340" s="19" t="str">
        <v/>
      </c>
      <c r="F340" s="19" t="s">
        <v>22</v>
      </c>
      <c r="G340" s="20">
        <v>2795.68</v>
      </c>
      <c r="H340" s="19" t="s">
        <v>15</v>
      </c>
      <c r="I340" s="20">
        <v>15000</v>
      </c>
      <c r="J340" s="20">
        <f t="shared" si="5"/>
        <v>0</v>
      </c>
      <c r="K340" s="21">
        <f>'Copy of All Sales'!$G340-'Copy of All Sales'!$I340</f>
        <v>-12204.32</v>
      </c>
    </row>
    <row r="341" spans="1:11" x14ac:dyDescent="0.25">
      <c r="A341" s="22">
        <v>44256</v>
      </c>
      <c r="B341" s="23"/>
      <c r="C341" s="23"/>
      <c r="D341" s="23" t="s">
        <v>137</v>
      </c>
      <c r="E341" s="23" t="str">
        <v/>
      </c>
      <c r="F341" s="23" t="s">
        <v>22</v>
      </c>
      <c r="G341" s="24">
        <v>2767.09</v>
      </c>
      <c r="H341" s="23" t="s">
        <v>43</v>
      </c>
      <c r="I341" s="24">
        <v>15000</v>
      </c>
      <c r="J341" s="24">
        <f t="shared" si="5"/>
        <v>0</v>
      </c>
      <c r="K341" s="25">
        <f>'Copy of All Sales'!$G341-'Copy of All Sales'!$I341</f>
        <v>-12232.91</v>
      </c>
    </row>
    <row r="342" spans="1:11" x14ac:dyDescent="0.25">
      <c r="A342" s="18">
        <v>44256</v>
      </c>
      <c r="B342" s="19"/>
      <c r="C342" s="19"/>
      <c r="D342" s="19" t="s">
        <v>137</v>
      </c>
      <c r="E342" s="19" t="str">
        <v/>
      </c>
      <c r="F342" s="19" t="s">
        <v>22</v>
      </c>
      <c r="G342" s="20">
        <v>798.27</v>
      </c>
      <c r="H342" s="19" t="s">
        <v>43</v>
      </c>
      <c r="I342" s="20">
        <v>15000</v>
      </c>
      <c r="J342" s="20">
        <f t="shared" si="5"/>
        <v>0</v>
      </c>
      <c r="K342" s="21">
        <f>'Copy of All Sales'!$G342-'Copy of All Sales'!$I342</f>
        <v>-14201.73</v>
      </c>
    </row>
    <row r="343" spans="1:11" x14ac:dyDescent="0.25">
      <c r="A343" s="22">
        <v>44256</v>
      </c>
      <c r="B343" s="23"/>
      <c r="C343" s="23"/>
      <c r="D343" s="23" t="s">
        <v>137</v>
      </c>
      <c r="E343" s="23" t="str">
        <v/>
      </c>
      <c r="F343" s="23" t="s">
        <v>22</v>
      </c>
      <c r="G343" s="24">
        <v>2510.2399999999998</v>
      </c>
      <c r="H343" s="23" t="s">
        <v>15</v>
      </c>
      <c r="I343" s="24">
        <v>15000</v>
      </c>
      <c r="J343" s="24">
        <f t="shared" si="5"/>
        <v>0</v>
      </c>
      <c r="K343" s="25">
        <f>'Copy of All Sales'!$G343-'Copy of All Sales'!$I343</f>
        <v>-12489.76</v>
      </c>
    </row>
    <row r="344" spans="1:11" x14ac:dyDescent="0.25">
      <c r="A344" s="18">
        <v>44256</v>
      </c>
      <c r="B344" s="19"/>
      <c r="C344" s="19"/>
      <c r="D344" s="19" t="s">
        <v>137</v>
      </c>
      <c r="E344" s="19" t="str">
        <v/>
      </c>
      <c r="F344" s="19" t="s">
        <v>22</v>
      </c>
      <c r="G344" s="20">
        <v>3690.7200000000003</v>
      </c>
      <c r="H344" s="19" t="s">
        <v>15</v>
      </c>
      <c r="I344" s="20">
        <v>15000</v>
      </c>
      <c r="J344" s="20">
        <f t="shared" si="5"/>
        <v>0</v>
      </c>
      <c r="K344" s="21">
        <f>'Copy of All Sales'!$G344-'Copy of All Sales'!$I344</f>
        <v>-11309.279999999999</v>
      </c>
    </row>
    <row r="345" spans="1:11" x14ac:dyDescent="0.25">
      <c r="A345" s="22">
        <v>44256</v>
      </c>
      <c r="B345" s="23"/>
      <c r="C345" s="23"/>
      <c r="D345" s="23" t="s">
        <v>137</v>
      </c>
      <c r="E345" s="23" t="str">
        <v/>
      </c>
      <c r="F345" s="23" t="s">
        <v>22</v>
      </c>
      <c r="G345" s="24">
        <v>670.89</v>
      </c>
      <c r="H345" s="23" t="s">
        <v>43</v>
      </c>
      <c r="I345" s="24">
        <v>15000</v>
      </c>
      <c r="J345" s="24">
        <f t="shared" si="5"/>
        <v>0</v>
      </c>
      <c r="K345" s="25">
        <f>'Copy of All Sales'!$G345-'Copy of All Sales'!$I345</f>
        <v>-14329.11</v>
      </c>
    </row>
    <row r="346" spans="1:11" x14ac:dyDescent="0.25">
      <c r="A346" s="18">
        <v>44256</v>
      </c>
      <c r="B346" s="19"/>
      <c r="C346" s="19"/>
      <c r="D346" s="19" t="s">
        <v>137</v>
      </c>
      <c r="E346" s="19" t="str">
        <v/>
      </c>
      <c r="F346" s="19" t="s">
        <v>22</v>
      </c>
      <c r="G346" s="20">
        <v>2012.8</v>
      </c>
      <c r="H346" s="19" t="s">
        <v>43</v>
      </c>
      <c r="I346" s="20">
        <v>15000</v>
      </c>
      <c r="J346" s="20">
        <f t="shared" si="5"/>
        <v>0</v>
      </c>
      <c r="K346" s="21">
        <f>'Copy of All Sales'!$G346-'Copy of All Sales'!$I346</f>
        <v>-12987.2</v>
      </c>
    </row>
    <row r="347" spans="1:11" x14ac:dyDescent="0.25">
      <c r="A347" s="22">
        <v>44256</v>
      </c>
      <c r="B347" s="23"/>
      <c r="C347" s="23"/>
      <c r="D347" s="23" t="s">
        <v>137</v>
      </c>
      <c r="E347" s="23" t="str">
        <v/>
      </c>
      <c r="F347" s="23" t="s">
        <v>22</v>
      </c>
      <c r="G347" s="24">
        <v>2116.7999999999997</v>
      </c>
      <c r="H347" s="23" t="s">
        <v>11</v>
      </c>
      <c r="I347" s="24">
        <v>15000</v>
      </c>
      <c r="J347" s="24">
        <f t="shared" si="5"/>
        <v>0</v>
      </c>
      <c r="K347" s="25">
        <f>'Copy of All Sales'!$G347-'Copy of All Sales'!$I347</f>
        <v>-12883.2</v>
      </c>
    </row>
    <row r="348" spans="1:11" x14ac:dyDescent="0.25">
      <c r="A348" s="18">
        <v>44256</v>
      </c>
      <c r="B348" s="19"/>
      <c r="C348" s="19"/>
      <c r="D348" s="19" t="s">
        <v>137</v>
      </c>
      <c r="E348" s="19" t="str">
        <v/>
      </c>
      <c r="F348" s="19" t="s">
        <v>22</v>
      </c>
      <c r="G348" s="20">
        <v>1158.04</v>
      </c>
      <c r="H348" s="19" t="s">
        <v>15</v>
      </c>
      <c r="I348" s="20">
        <v>15000</v>
      </c>
      <c r="J348" s="20">
        <f t="shared" si="5"/>
        <v>0</v>
      </c>
      <c r="K348" s="21">
        <f>'Copy of All Sales'!$G348-'Copy of All Sales'!$I348</f>
        <v>-13841.96</v>
      </c>
    </row>
    <row r="349" spans="1:11" x14ac:dyDescent="0.25">
      <c r="A349" s="22">
        <v>44256</v>
      </c>
      <c r="B349" s="23" t="s">
        <v>66</v>
      </c>
      <c r="C349" s="23" t="s">
        <v>67</v>
      </c>
      <c r="D349" s="23" t="s">
        <v>65</v>
      </c>
      <c r="E349" s="23" t="str">
        <v>Spencer Cruz</v>
      </c>
      <c r="F349" s="23" t="s">
        <v>22</v>
      </c>
      <c r="G349" s="24">
        <v>6708.9</v>
      </c>
      <c r="H349" s="23" t="s">
        <v>43</v>
      </c>
      <c r="I349" s="24">
        <v>15000</v>
      </c>
      <c r="J349" s="24">
        <f t="shared" si="5"/>
        <v>0</v>
      </c>
      <c r="K349" s="25">
        <f>'Copy of All Sales'!$G349-'Copy of All Sales'!$I349</f>
        <v>-8291.1</v>
      </c>
    </row>
    <row r="350" spans="1:11" x14ac:dyDescent="0.25">
      <c r="A350" s="18">
        <v>44256</v>
      </c>
      <c r="B350" s="19" t="s">
        <v>54</v>
      </c>
      <c r="C350" s="19" t="s">
        <v>55</v>
      </c>
      <c r="D350" s="19" t="s">
        <v>53</v>
      </c>
      <c r="E350" s="19" t="str">
        <v>Josh Sutherland</v>
      </c>
      <c r="F350" s="19" t="s">
        <v>22</v>
      </c>
      <c r="G350" s="20">
        <v>7982.7</v>
      </c>
      <c r="H350" s="19" t="s">
        <v>43</v>
      </c>
      <c r="I350" s="20">
        <v>15000</v>
      </c>
      <c r="J350" s="20">
        <f t="shared" si="5"/>
        <v>0</v>
      </c>
      <c r="K350" s="21">
        <f>'Copy of All Sales'!$G350-'Copy of All Sales'!$I350</f>
        <v>-7017.3</v>
      </c>
    </row>
    <row r="351" spans="1:11" x14ac:dyDescent="0.25">
      <c r="A351" s="22">
        <v>44256</v>
      </c>
      <c r="B351" s="23" t="s">
        <v>45</v>
      </c>
      <c r="C351" s="23" t="s">
        <v>46</v>
      </c>
      <c r="D351" s="23" t="s">
        <v>44</v>
      </c>
      <c r="E351" s="23" t="str">
        <v>Ally Bryant</v>
      </c>
      <c r="F351" s="23" t="s">
        <v>22</v>
      </c>
      <c r="G351" s="24">
        <v>8694</v>
      </c>
      <c r="H351" s="23" t="s">
        <v>11</v>
      </c>
      <c r="I351" s="24">
        <v>15000</v>
      </c>
      <c r="J351" s="24">
        <f t="shared" si="5"/>
        <v>0</v>
      </c>
      <c r="K351" s="25">
        <f>'Copy of All Sales'!$G351-'Copy of All Sales'!$I351</f>
        <v>-6306</v>
      </c>
    </row>
    <row r="352" spans="1:11" x14ac:dyDescent="0.25">
      <c r="A352" s="18">
        <v>44256</v>
      </c>
      <c r="B352" s="19" t="s">
        <v>45</v>
      </c>
      <c r="C352" s="19" t="s">
        <v>46</v>
      </c>
      <c r="D352" s="19" t="s">
        <v>44</v>
      </c>
      <c r="E352" s="19" t="str">
        <v>Ally Bryant</v>
      </c>
      <c r="F352" s="19" t="s">
        <v>22</v>
      </c>
      <c r="G352" s="20">
        <v>9116</v>
      </c>
      <c r="H352" s="19" t="s">
        <v>11</v>
      </c>
      <c r="I352" s="20">
        <v>15000</v>
      </c>
      <c r="J352" s="20">
        <f t="shared" si="5"/>
        <v>0</v>
      </c>
      <c r="K352" s="21">
        <f>'Copy of All Sales'!$G352-'Copy of All Sales'!$I352</f>
        <v>-5884</v>
      </c>
    </row>
    <row r="353" spans="1:11" x14ac:dyDescent="0.25">
      <c r="A353" s="22">
        <v>44256</v>
      </c>
      <c r="B353" s="23" t="s">
        <v>54</v>
      </c>
      <c r="C353" s="23" t="s">
        <v>55</v>
      </c>
      <c r="D353" s="23" t="s">
        <v>53</v>
      </c>
      <c r="E353" s="23" t="str">
        <v>Josh Sutherland</v>
      </c>
      <c r="F353" s="23" t="s">
        <v>22</v>
      </c>
      <c r="G353" s="24">
        <v>10110.299999999999</v>
      </c>
      <c r="H353" s="23" t="s">
        <v>11</v>
      </c>
      <c r="I353" s="24">
        <v>15000</v>
      </c>
      <c r="J353" s="24">
        <f t="shared" si="5"/>
        <v>0</v>
      </c>
      <c r="K353" s="25">
        <f>'Copy of All Sales'!$G353-'Copy of All Sales'!$I353</f>
        <v>-4889.7000000000007</v>
      </c>
    </row>
    <row r="354" spans="1:11" x14ac:dyDescent="0.25">
      <c r="A354" s="18">
        <v>44256</v>
      </c>
      <c r="B354" s="19" t="s">
        <v>20</v>
      </c>
      <c r="C354" s="19" t="s">
        <v>21</v>
      </c>
      <c r="D354" s="19" t="s">
        <v>19</v>
      </c>
      <c r="E354" s="19" t="str">
        <v>Nina McDonald</v>
      </c>
      <c r="F354" s="19" t="s">
        <v>22</v>
      </c>
      <c r="G354" s="20">
        <v>10451.199999999999</v>
      </c>
      <c r="H354" s="19" t="s">
        <v>11</v>
      </c>
      <c r="I354" s="20">
        <v>15000</v>
      </c>
      <c r="J354" s="20">
        <f t="shared" si="5"/>
        <v>0</v>
      </c>
      <c r="K354" s="21">
        <f>'Copy of All Sales'!$G354-'Copy of All Sales'!$I354</f>
        <v>-4548.8000000000011</v>
      </c>
    </row>
    <row r="355" spans="1:11" x14ac:dyDescent="0.25">
      <c r="A355" s="22">
        <v>44256</v>
      </c>
      <c r="B355" s="23" t="s">
        <v>20</v>
      </c>
      <c r="C355" s="23" t="s">
        <v>21</v>
      </c>
      <c r="D355" s="23" t="s">
        <v>19</v>
      </c>
      <c r="E355" s="23" t="str">
        <v>Nina McDonald</v>
      </c>
      <c r="F355" s="23" t="s">
        <v>22</v>
      </c>
      <c r="G355" s="24">
        <v>11580.4</v>
      </c>
      <c r="H355" s="23" t="s">
        <v>15</v>
      </c>
      <c r="I355" s="24">
        <v>15000</v>
      </c>
      <c r="J355" s="24">
        <f t="shared" si="5"/>
        <v>0</v>
      </c>
      <c r="K355" s="25">
        <f>'Copy of All Sales'!$G355-'Copy of All Sales'!$I355</f>
        <v>-3419.6000000000004</v>
      </c>
    </row>
    <row r="356" spans="1:11" x14ac:dyDescent="0.25">
      <c r="A356" s="18">
        <v>44256</v>
      </c>
      <c r="B356" s="19" t="s">
        <v>45</v>
      </c>
      <c r="C356" s="19" t="s">
        <v>46</v>
      </c>
      <c r="D356" s="19" t="s">
        <v>44</v>
      </c>
      <c r="E356" s="19" t="str">
        <v>Ally Bryant</v>
      </c>
      <c r="F356" s="19" t="s">
        <v>22</v>
      </c>
      <c r="G356" s="20">
        <v>14329.5</v>
      </c>
      <c r="H356" s="19" t="s">
        <v>11</v>
      </c>
      <c r="I356" s="20">
        <v>15000</v>
      </c>
      <c r="J356" s="20">
        <f t="shared" si="5"/>
        <v>0</v>
      </c>
      <c r="K356" s="21">
        <f>'Copy of All Sales'!$G356-'Copy of All Sales'!$I356</f>
        <v>-670.5</v>
      </c>
    </row>
    <row r="357" spans="1:11" x14ac:dyDescent="0.25">
      <c r="A357" s="22">
        <v>44256</v>
      </c>
      <c r="B357" s="23" t="s">
        <v>45</v>
      </c>
      <c r="C357" s="23" t="s">
        <v>46</v>
      </c>
      <c r="D357" s="23" t="s">
        <v>44</v>
      </c>
      <c r="E357" s="23" t="str">
        <v>Ally Bryant</v>
      </c>
      <c r="F357" s="23" t="s">
        <v>22</v>
      </c>
      <c r="G357" s="24">
        <v>20128</v>
      </c>
      <c r="H357" s="23" t="s">
        <v>43</v>
      </c>
      <c r="I357" s="24">
        <v>15000</v>
      </c>
      <c r="J357" s="24">
        <f t="shared" si="5"/>
        <v>2012.8000000000002</v>
      </c>
      <c r="K357" s="25">
        <f>'Copy of All Sales'!$G357-'Copy of All Sales'!$I357</f>
        <v>5128</v>
      </c>
    </row>
    <row r="358" spans="1:11" x14ac:dyDescent="0.25">
      <c r="A358" s="18">
        <v>44256</v>
      </c>
      <c r="B358" s="19" t="s">
        <v>66</v>
      </c>
      <c r="C358" s="19" t="s">
        <v>67</v>
      </c>
      <c r="D358" s="19" t="s">
        <v>65</v>
      </c>
      <c r="E358" s="19" t="str">
        <v>Spencer Cruz</v>
      </c>
      <c r="F358" s="19" t="s">
        <v>22</v>
      </c>
      <c r="G358" s="20">
        <v>21167.999999999996</v>
      </c>
      <c r="H358" s="19" t="s">
        <v>11</v>
      </c>
      <c r="I358" s="20">
        <v>15000</v>
      </c>
      <c r="J358" s="20">
        <f t="shared" si="5"/>
        <v>2116.7999999999997</v>
      </c>
      <c r="K358" s="21">
        <f>'Copy of All Sales'!$G358-'Copy of All Sales'!$I358</f>
        <v>6167.9999999999964</v>
      </c>
    </row>
    <row r="359" spans="1:11" x14ac:dyDescent="0.25">
      <c r="A359" s="22">
        <v>44256</v>
      </c>
      <c r="B359" s="23" t="s">
        <v>38</v>
      </c>
      <c r="C359" s="23" t="s">
        <v>39</v>
      </c>
      <c r="D359" s="23" t="s">
        <v>37</v>
      </c>
      <c r="E359" s="23" t="str">
        <v>Tia Cruise</v>
      </c>
      <c r="F359" s="23" t="s">
        <v>22</v>
      </c>
      <c r="G359" s="24">
        <v>25102.399999999998</v>
      </c>
      <c r="H359" s="23" t="s">
        <v>15</v>
      </c>
      <c r="I359" s="24">
        <v>15000</v>
      </c>
      <c r="J359" s="24">
        <f t="shared" si="5"/>
        <v>2510.2399999999998</v>
      </c>
      <c r="K359" s="25">
        <f>'Copy of All Sales'!$G359-'Copy of All Sales'!$I359</f>
        <v>10102.399999999998</v>
      </c>
    </row>
    <row r="360" spans="1:11" x14ac:dyDescent="0.25">
      <c r="A360" s="18">
        <v>44256</v>
      </c>
      <c r="B360" s="19" t="s">
        <v>38</v>
      </c>
      <c r="C360" s="19" t="s">
        <v>39</v>
      </c>
      <c r="D360" s="19" t="s">
        <v>37</v>
      </c>
      <c r="E360" s="19" t="str">
        <v>Tia Cruise</v>
      </c>
      <c r="F360" s="19" t="s">
        <v>22</v>
      </c>
      <c r="G360" s="20">
        <v>27670.9</v>
      </c>
      <c r="H360" s="19" t="s">
        <v>43</v>
      </c>
      <c r="I360" s="20">
        <v>15000</v>
      </c>
      <c r="J360" s="20">
        <f t="shared" si="5"/>
        <v>2767.09</v>
      </c>
      <c r="K360" s="21">
        <f>'Copy of All Sales'!$G360-'Copy of All Sales'!$I360</f>
        <v>12670.900000000001</v>
      </c>
    </row>
    <row r="361" spans="1:11" x14ac:dyDescent="0.25">
      <c r="A361" s="22">
        <v>44256</v>
      </c>
      <c r="B361" s="23" t="s">
        <v>38</v>
      </c>
      <c r="C361" s="23" t="s">
        <v>39</v>
      </c>
      <c r="D361" s="23" t="s">
        <v>37</v>
      </c>
      <c r="E361" s="23" t="str">
        <v>Tia Cruise</v>
      </c>
      <c r="F361" s="23" t="s">
        <v>22</v>
      </c>
      <c r="G361" s="24">
        <v>27956.799999999999</v>
      </c>
      <c r="H361" s="23" t="s">
        <v>15</v>
      </c>
      <c r="I361" s="24">
        <v>15000</v>
      </c>
      <c r="J361" s="24">
        <f t="shared" si="5"/>
        <v>2795.6800000000003</v>
      </c>
      <c r="K361" s="25">
        <f>'Copy of All Sales'!$G361-'Copy of All Sales'!$I361</f>
        <v>12956.8</v>
      </c>
    </row>
    <row r="362" spans="1:11" x14ac:dyDescent="0.25">
      <c r="A362" s="18">
        <v>44256</v>
      </c>
      <c r="B362" s="19" t="s">
        <v>45</v>
      </c>
      <c r="C362" s="19" t="s">
        <v>46</v>
      </c>
      <c r="D362" s="19" t="s">
        <v>44</v>
      </c>
      <c r="E362" s="19" t="str">
        <v>Ally Bryant</v>
      </c>
      <c r="F362" s="19" t="s">
        <v>22</v>
      </c>
      <c r="G362" s="20">
        <v>31407</v>
      </c>
      <c r="H362" s="19" t="s">
        <v>15</v>
      </c>
      <c r="I362" s="20">
        <v>15000</v>
      </c>
      <c r="J362" s="20">
        <f t="shared" si="5"/>
        <v>3140.7000000000003</v>
      </c>
      <c r="K362" s="21">
        <f>'Copy of All Sales'!$G362-'Copy of All Sales'!$I362</f>
        <v>16407</v>
      </c>
    </row>
    <row r="363" spans="1:11" x14ac:dyDescent="0.25">
      <c r="A363" s="22">
        <v>44256</v>
      </c>
      <c r="B363" s="23" t="s">
        <v>54</v>
      </c>
      <c r="C363" s="23" t="s">
        <v>55</v>
      </c>
      <c r="D363" s="23" t="s">
        <v>53</v>
      </c>
      <c r="E363" s="23" t="str">
        <v>Josh Sutherland</v>
      </c>
      <c r="F363" s="23" t="s">
        <v>22</v>
      </c>
      <c r="G363" s="24">
        <v>35647.5</v>
      </c>
      <c r="H363" s="23" t="s">
        <v>43</v>
      </c>
      <c r="I363" s="24">
        <v>15000</v>
      </c>
      <c r="J363" s="24">
        <f t="shared" si="5"/>
        <v>3564.75</v>
      </c>
      <c r="K363" s="25">
        <f>'Copy of All Sales'!$G363-'Copy of All Sales'!$I363</f>
        <v>20647.5</v>
      </c>
    </row>
    <row r="364" spans="1:11" x14ac:dyDescent="0.25">
      <c r="A364" s="18">
        <v>44256</v>
      </c>
      <c r="B364" s="19" t="s">
        <v>54</v>
      </c>
      <c r="C364" s="19" t="s">
        <v>55</v>
      </c>
      <c r="D364" s="19" t="s">
        <v>53</v>
      </c>
      <c r="E364" s="19" t="str">
        <v>Josh Sutherland</v>
      </c>
      <c r="F364" s="19" t="s">
        <v>22</v>
      </c>
      <c r="G364" s="20">
        <v>36907.200000000004</v>
      </c>
      <c r="H364" s="19" t="s">
        <v>15</v>
      </c>
      <c r="I364" s="20">
        <v>15000</v>
      </c>
      <c r="J364" s="20">
        <f t="shared" si="5"/>
        <v>3690.7200000000007</v>
      </c>
      <c r="K364" s="21">
        <f>'Copy of All Sales'!$G364-'Copy of All Sales'!$I364</f>
        <v>21907.200000000004</v>
      </c>
    </row>
    <row r="365" spans="1:11" x14ac:dyDescent="0.25">
      <c r="A365" s="22">
        <v>44287</v>
      </c>
      <c r="B365" s="23"/>
      <c r="C365" s="23"/>
      <c r="D365" s="23" t="s">
        <v>137</v>
      </c>
      <c r="E365" s="23" t="str">
        <v/>
      </c>
      <c r="F365" s="23" t="s">
        <v>22</v>
      </c>
      <c r="G365" s="24">
        <v>1171.6500000000001</v>
      </c>
      <c r="H365" s="23" t="s">
        <v>11</v>
      </c>
      <c r="I365" s="24">
        <v>15000</v>
      </c>
      <c r="J365" s="24">
        <f t="shared" si="5"/>
        <v>0</v>
      </c>
      <c r="K365" s="25">
        <f>'Copy of All Sales'!$G365-'Copy of All Sales'!$I365</f>
        <v>-13828.35</v>
      </c>
    </row>
    <row r="366" spans="1:11" x14ac:dyDescent="0.25">
      <c r="A366" s="18">
        <v>44287</v>
      </c>
      <c r="B366" s="19"/>
      <c r="C366" s="19"/>
      <c r="D366" s="19" t="s">
        <v>137</v>
      </c>
      <c r="E366" s="19" t="str">
        <v/>
      </c>
      <c r="F366" s="19" t="s">
        <v>22</v>
      </c>
      <c r="G366" s="20">
        <v>1696.8</v>
      </c>
      <c r="H366" s="19" t="s">
        <v>43</v>
      </c>
      <c r="I366" s="20">
        <v>15000</v>
      </c>
      <c r="J366" s="20">
        <f t="shared" si="5"/>
        <v>0</v>
      </c>
      <c r="K366" s="21">
        <f>'Copy of All Sales'!$G366-'Copy of All Sales'!$I366</f>
        <v>-13303.2</v>
      </c>
    </row>
    <row r="367" spans="1:11" x14ac:dyDescent="0.25">
      <c r="A367" s="22">
        <v>44287</v>
      </c>
      <c r="B367" s="23"/>
      <c r="C367" s="23"/>
      <c r="D367" s="23" t="s">
        <v>137</v>
      </c>
      <c r="E367" s="23" t="str">
        <v/>
      </c>
      <c r="F367" s="23" t="s">
        <v>22</v>
      </c>
      <c r="G367" s="24">
        <v>569.64</v>
      </c>
      <c r="H367" s="23" t="s">
        <v>11</v>
      </c>
      <c r="I367" s="24">
        <v>15000</v>
      </c>
      <c r="J367" s="24">
        <f t="shared" si="5"/>
        <v>0</v>
      </c>
      <c r="K367" s="25">
        <f>'Copy of All Sales'!$G367-'Copy of All Sales'!$I367</f>
        <v>-14430.36</v>
      </c>
    </row>
    <row r="368" spans="1:11" x14ac:dyDescent="0.25">
      <c r="A368" s="18">
        <v>44287</v>
      </c>
      <c r="B368" s="19"/>
      <c r="C368" s="19"/>
      <c r="D368" s="19" t="s">
        <v>137</v>
      </c>
      <c r="E368" s="19" t="str">
        <v/>
      </c>
      <c r="F368" s="19" t="s">
        <v>22</v>
      </c>
      <c r="G368" s="20">
        <v>1818.84</v>
      </c>
      <c r="H368" s="19" t="s">
        <v>15</v>
      </c>
      <c r="I368" s="20">
        <v>15000</v>
      </c>
      <c r="J368" s="20">
        <f t="shared" si="5"/>
        <v>0</v>
      </c>
      <c r="K368" s="21">
        <f>'Copy of All Sales'!$G368-'Copy of All Sales'!$I368</f>
        <v>-13181.16</v>
      </c>
    </row>
    <row r="369" spans="1:11" x14ac:dyDescent="0.25">
      <c r="A369" s="22">
        <v>44287</v>
      </c>
      <c r="B369" s="23"/>
      <c r="C369" s="23"/>
      <c r="D369" s="23" t="s">
        <v>137</v>
      </c>
      <c r="E369" s="23" t="str">
        <v/>
      </c>
      <c r="F369" s="23" t="s">
        <v>22</v>
      </c>
      <c r="G369" s="24">
        <v>1799.35</v>
      </c>
      <c r="H369" s="23" t="s">
        <v>11</v>
      </c>
      <c r="I369" s="24">
        <v>15000</v>
      </c>
      <c r="J369" s="24">
        <f t="shared" si="5"/>
        <v>0</v>
      </c>
      <c r="K369" s="25">
        <f>'Copy of All Sales'!$G369-'Copy of All Sales'!$I369</f>
        <v>-13200.65</v>
      </c>
    </row>
    <row r="370" spans="1:11" x14ac:dyDescent="0.25">
      <c r="A370" s="18">
        <v>44287</v>
      </c>
      <c r="B370" s="19"/>
      <c r="C370" s="19"/>
      <c r="D370" s="19" t="s">
        <v>137</v>
      </c>
      <c r="E370" s="19" t="str">
        <v/>
      </c>
      <c r="F370" s="19" t="s">
        <v>22</v>
      </c>
      <c r="G370" s="20">
        <v>1649.94</v>
      </c>
      <c r="H370" s="19" t="s">
        <v>15</v>
      </c>
      <c r="I370" s="20">
        <v>15000</v>
      </c>
      <c r="J370" s="20">
        <f t="shared" si="5"/>
        <v>0</v>
      </c>
      <c r="K370" s="21">
        <f>'Copy of All Sales'!$G370-'Copy of All Sales'!$I370</f>
        <v>-13350.06</v>
      </c>
    </row>
    <row r="371" spans="1:11" x14ac:dyDescent="0.25">
      <c r="A371" s="22">
        <v>44287</v>
      </c>
      <c r="B371" s="23"/>
      <c r="C371" s="23"/>
      <c r="D371" s="23" t="s">
        <v>137</v>
      </c>
      <c r="E371" s="23" t="str">
        <v/>
      </c>
      <c r="F371" s="23" t="s">
        <v>22</v>
      </c>
      <c r="G371" s="24">
        <v>1441.6</v>
      </c>
      <c r="H371" s="23" t="s">
        <v>43</v>
      </c>
      <c r="I371" s="24">
        <v>15000</v>
      </c>
      <c r="J371" s="24">
        <f t="shared" si="5"/>
        <v>0</v>
      </c>
      <c r="K371" s="25">
        <f>'Copy of All Sales'!$G371-'Copy of All Sales'!$I371</f>
        <v>-13558.4</v>
      </c>
    </row>
    <row r="372" spans="1:11" x14ac:dyDescent="0.25">
      <c r="A372" s="18">
        <v>44287</v>
      </c>
      <c r="B372" s="19" t="s">
        <v>54</v>
      </c>
      <c r="C372" s="19" t="s">
        <v>55</v>
      </c>
      <c r="D372" s="19" t="s">
        <v>53</v>
      </c>
      <c r="E372" s="19" t="str">
        <v>Josh Sutherland</v>
      </c>
      <c r="F372" s="19" t="s">
        <v>22</v>
      </c>
      <c r="G372" s="20">
        <v>5696.4</v>
      </c>
      <c r="H372" s="19" t="s">
        <v>11</v>
      </c>
      <c r="I372" s="20">
        <v>15000</v>
      </c>
      <c r="J372" s="20">
        <f t="shared" si="5"/>
        <v>0</v>
      </c>
      <c r="K372" s="21">
        <f>'Copy of All Sales'!$G372-'Copy of All Sales'!$I372</f>
        <v>-9303.6</v>
      </c>
    </row>
    <row r="373" spans="1:11" x14ac:dyDescent="0.25">
      <c r="A373" s="22">
        <v>44287</v>
      </c>
      <c r="B373" s="23" t="s">
        <v>20</v>
      </c>
      <c r="C373" s="23" t="s">
        <v>21</v>
      </c>
      <c r="D373" s="23" t="s">
        <v>19</v>
      </c>
      <c r="E373" s="23" t="str">
        <v>Nina McDonald</v>
      </c>
      <c r="F373" s="23" t="s">
        <v>22</v>
      </c>
      <c r="G373" s="24">
        <v>11716.5</v>
      </c>
      <c r="H373" s="23" t="s">
        <v>11</v>
      </c>
      <c r="I373" s="24">
        <v>15000</v>
      </c>
      <c r="J373" s="24">
        <f t="shared" si="5"/>
        <v>0</v>
      </c>
      <c r="K373" s="25">
        <f>'Copy of All Sales'!$G373-'Copy of All Sales'!$I373</f>
        <v>-3283.5</v>
      </c>
    </row>
    <row r="374" spans="1:11" x14ac:dyDescent="0.25">
      <c r="A374" s="18">
        <v>44287</v>
      </c>
      <c r="B374" s="19" t="s">
        <v>66</v>
      </c>
      <c r="C374" s="19" t="s">
        <v>67</v>
      </c>
      <c r="D374" s="19" t="s">
        <v>65</v>
      </c>
      <c r="E374" s="19" t="str">
        <v>Spencer Cruz</v>
      </c>
      <c r="F374" s="19" t="s">
        <v>22</v>
      </c>
      <c r="G374" s="20">
        <v>14416</v>
      </c>
      <c r="H374" s="19" t="s">
        <v>43</v>
      </c>
      <c r="I374" s="20">
        <v>15000</v>
      </c>
      <c r="J374" s="20">
        <f t="shared" si="5"/>
        <v>0</v>
      </c>
      <c r="K374" s="21">
        <f>'Copy of All Sales'!$G374-'Copy of All Sales'!$I374</f>
        <v>-584</v>
      </c>
    </row>
    <row r="375" spans="1:11" x14ac:dyDescent="0.25">
      <c r="A375" s="22">
        <v>44287</v>
      </c>
      <c r="B375" s="23" t="s">
        <v>20</v>
      </c>
      <c r="C375" s="23" t="s">
        <v>21</v>
      </c>
      <c r="D375" s="23" t="s">
        <v>19</v>
      </c>
      <c r="E375" s="23" t="str">
        <v>Nina McDonald</v>
      </c>
      <c r="F375" s="23" t="s">
        <v>22</v>
      </c>
      <c r="G375" s="24">
        <v>16499.400000000001</v>
      </c>
      <c r="H375" s="23" t="s">
        <v>15</v>
      </c>
      <c r="I375" s="24">
        <v>15000</v>
      </c>
      <c r="J375" s="24">
        <f t="shared" si="5"/>
        <v>1649.9400000000003</v>
      </c>
      <c r="K375" s="25">
        <f>'Copy of All Sales'!$G375-'Copy of All Sales'!$I375</f>
        <v>1499.4000000000015</v>
      </c>
    </row>
    <row r="376" spans="1:11" x14ac:dyDescent="0.25">
      <c r="A376" s="18">
        <v>44287</v>
      </c>
      <c r="B376" s="19" t="s">
        <v>54</v>
      </c>
      <c r="C376" s="19" t="s">
        <v>55</v>
      </c>
      <c r="D376" s="19" t="s">
        <v>53</v>
      </c>
      <c r="E376" s="19" t="str">
        <v>Josh Sutherland</v>
      </c>
      <c r="F376" s="19" t="s">
        <v>22</v>
      </c>
      <c r="G376" s="20">
        <v>16968</v>
      </c>
      <c r="H376" s="19" t="s">
        <v>43</v>
      </c>
      <c r="I376" s="20">
        <v>15000</v>
      </c>
      <c r="J376" s="20">
        <f t="shared" si="5"/>
        <v>1696.8000000000002</v>
      </c>
      <c r="K376" s="21">
        <f>'Copy of All Sales'!$G376-'Copy of All Sales'!$I376</f>
        <v>1968</v>
      </c>
    </row>
    <row r="377" spans="1:11" x14ac:dyDescent="0.25">
      <c r="A377" s="22">
        <v>44287</v>
      </c>
      <c r="B377" s="23" t="s">
        <v>45</v>
      </c>
      <c r="C377" s="23" t="s">
        <v>46</v>
      </c>
      <c r="D377" s="23" t="s">
        <v>44</v>
      </c>
      <c r="E377" s="23" t="str">
        <v>Ally Bryant</v>
      </c>
      <c r="F377" s="23" t="s">
        <v>22</v>
      </c>
      <c r="G377" s="24">
        <v>17993.5</v>
      </c>
      <c r="H377" s="23" t="s">
        <v>11</v>
      </c>
      <c r="I377" s="24">
        <v>15000</v>
      </c>
      <c r="J377" s="24">
        <f t="shared" si="5"/>
        <v>1799.3500000000001</v>
      </c>
      <c r="K377" s="25">
        <f>'Copy of All Sales'!$G377-'Copy of All Sales'!$I377</f>
        <v>2993.5</v>
      </c>
    </row>
    <row r="378" spans="1:11" x14ac:dyDescent="0.25">
      <c r="A378" s="18">
        <v>44287</v>
      </c>
      <c r="B378" s="19" t="s">
        <v>54</v>
      </c>
      <c r="C378" s="19" t="s">
        <v>55</v>
      </c>
      <c r="D378" s="19" t="s">
        <v>53</v>
      </c>
      <c r="E378" s="19" t="str">
        <v>Josh Sutherland</v>
      </c>
      <c r="F378" s="19" t="s">
        <v>22</v>
      </c>
      <c r="G378" s="20">
        <v>18188.399999999998</v>
      </c>
      <c r="H378" s="19" t="s">
        <v>15</v>
      </c>
      <c r="I378" s="20">
        <v>15000</v>
      </c>
      <c r="J378" s="20">
        <f t="shared" si="5"/>
        <v>1818.84</v>
      </c>
      <c r="K378" s="21">
        <f>'Copy of All Sales'!$G378-'Copy of All Sales'!$I378</f>
        <v>3188.3999999999978</v>
      </c>
    </row>
    <row r="379" spans="1:11" x14ac:dyDescent="0.25">
      <c r="A379" s="22">
        <v>44317</v>
      </c>
      <c r="B379" s="23"/>
      <c r="C379" s="23"/>
      <c r="D379" s="23" t="s">
        <v>137</v>
      </c>
      <c r="E379" s="23" t="str">
        <v/>
      </c>
      <c r="F379" s="23" t="s">
        <v>22</v>
      </c>
      <c r="G379" s="24">
        <v>900.48</v>
      </c>
      <c r="H379" s="23" t="s">
        <v>11</v>
      </c>
      <c r="I379" s="24">
        <v>15000</v>
      </c>
      <c r="J379" s="24">
        <f t="shared" si="5"/>
        <v>0</v>
      </c>
      <c r="K379" s="25">
        <f>'Copy of All Sales'!$G379-'Copy of All Sales'!$I379</f>
        <v>-14099.52</v>
      </c>
    </row>
    <row r="380" spans="1:11" x14ac:dyDescent="0.25">
      <c r="A380" s="18">
        <v>44317</v>
      </c>
      <c r="B380" s="19"/>
      <c r="C380" s="19"/>
      <c r="D380" s="19" t="s">
        <v>137</v>
      </c>
      <c r="E380" s="19" t="str">
        <v/>
      </c>
      <c r="F380" s="19" t="s">
        <v>22</v>
      </c>
      <c r="G380" s="20">
        <v>4224.91</v>
      </c>
      <c r="H380" s="19" t="s">
        <v>15</v>
      </c>
      <c r="I380" s="20">
        <v>15000</v>
      </c>
      <c r="J380" s="20">
        <f t="shared" si="5"/>
        <v>0</v>
      </c>
      <c r="K380" s="21">
        <f>'Copy of All Sales'!$G380-'Copy of All Sales'!$I380</f>
        <v>-10775.09</v>
      </c>
    </row>
    <row r="381" spans="1:11" x14ac:dyDescent="0.25">
      <c r="A381" s="22">
        <v>44317</v>
      </c>
      <c r="B381" s="23"/>
      <c r="C381" s="23"/>
      <c r="D381" s="23" t="s">
        <v>137</v>
      </c>
      <c r="E381" s="23" t="str">
        <v/>
      </c>
      <c r="F381" s="23" t="s">
        <v>22</v>
      </c>
      <c r="G381" s="24">
        <v>2399.7600000000002</v>
      </c>
      <c r="H381" s="23" t="s">
        <v>11</v>
      </c>
      <c r="I381" s="24">
        <v>15000</v>
      </c>
      <c r="J381" s="24">
        <f t="shared" si="5"/>
        <v>0</v>
      </c>
      <c r="K381" s="25">
        <f>'Copy of All Sales'!$G381-'Copy of All Sales'!$I381</f>
        <v>-12600.24</v>
      </c>
    </row>
    <row r="382" spans="1:11" x14ac:dyDescent="0.25">
      <c r="A382" s="18">
        <v>44317</v>
      </c>
      <c r="B382" s="19"/>
      <c r="C382" s="19"/>
      <c r="D382" s="19" t="s">
        <v>137</v>
      </c>
      <c r="E382" s="19" t="str">
        <v/>
      </c>
      <c r="F382" s="19" t="s">
        <v>22</v>
      </c>
      <c r="G382" s="20">
        <v>2791.64</v>
      </c>
      <c r="H382" s="19" t="s">
        <v>43</v>
      </c>
      <c r="I382" s="20">
        <v>15000</v>
      </c>
      <c r="J382" s="20">
        <f t="shared" si="5"/>
        <v>0</v>
      </c>
      <c r="K382" s="21">
        <f>'Copy of All Sales'!$G382-'Copy of All Sales'!$I382</f>
        <v>-12208.36</v>
      </c>
    </row>
    <row r="383" spans="1:11" x14ac:dyDescent="0.25">
      <c r="A383" s="22">
        <v>44317</v>
      </c>
      <c r="B383" s="23"/>
      <c r="C383" s="23"/>
      <c r="D383" s="23" t="s">
        <v>137</v>
      </c>
      <c r="E383" s="23" t="str">
        <v/>
      </c>
      <c r="F383" s="23" t="s">
        <v>22</v>
      </c>
      <c r="G383" s="24">
        <v>2071.7599999999998</v>
      </c>
      <c r="H383" s="23" t="s">
        <v>15</v>
      </c>
      <c r="I383" s="24">
        <v>15000</v>
      </c>
      <c r="J383" s="24">
        <f t="shared" si="5"/>
        <v>0</v>
      </c>
      <c r="K383" s="25">
        <f>'Copy of All Sales'!$G383-'Copy of All Sales'!$I383</f>
        <v>-12928.24</v>
      </c>
    </row>
    <row r="384" spans="1:11" x14ac:dyDescent="0.25">
      <c r="A384" s="18">
        <v>44317</v>
      </c>
      <c r="B384" s="19"/>
      <c r="C384" s="19"/>
      <c r="D384" s="19" t="s">
        <v>137</v>
      </c>
      <c r="E384" s="19" t="str">
        <v/>
      </c>
      <c r="F384" s="19" t="s">
        <v>22</v>
      </c>
      <c r="G384" s="20">
        <v>1983.64</v>
      </c>
      <c r="H384" s="19" t="s">
        <v>11</v>
      </c>
      <c r="I384" s="20">
        <v>15000</v>
      </c>
      <c r="J384" s="20">
        <f t="shared" si="5"/>
        <v>0</v>
      </c>
      <c r="K384" s="21">
        <f>'Copy of All Sales'!$G384-'Copy of All Sales'!$I384</f>
        <v>-13016.36</v>
      </c>
    </row>
    <row r="385" spans="1:11" x14ac:dyDescent="0.25">
      <c r="A385" s="22">
        <v>44317</v>
      </c>
      <c r="B385" s="23"/>
      <c r="C385" s="23"/>
      <c r="D385" s="23" t="s">
        <v>137</v>
      </c>
      <c r="E385" s="23" t="str">
        <v/>
      </c>
      <c r="F385" s="23" t="s">
        <v>22</v>
      </c>
      <c r="G385" s="24">
        <v>1961.75</v>
      </c>
      <c r="H385" s="23" t="s">
        <v>43</v>
      </c>
      <c r="I385" s="24">
        <v>15000</v>
      </c>
      <c r="J385" s="24">
        <f t="shared" si="5"/>
        <v>0</v>
      </c>
      <c r="K385" s="25">
        <f>'Copy of All Sales'!$G385-'Copy of All Sales'!$I385</f>
        <v>-13038.25</v>
      </c>
    </row>
    <row r="386" spans="1:11" x14ac:dyDescent="0.25">
      <c r="A386" s="18">
        <v>44317</v>
      </c>
      <c r="B386" s="19"/>
      <c r="C386" s="19"/>
      <c r="D386" s="19" t="s">
        <v>137</v>
      </c>
      <c r="E386" s="19" t="str">
        <v/>
      </c>
      <c r="F386" s="19" t="s">
        <v>22</v>
      </c>
      <c r="G386" s="20">
        <v>1882.64</v>
      </c>
      <c r="H386" s="19" t="s">
        <v>43</v>
      </c>
      <c r="I386" s="20">
        <v>15000</v>
      </c>
      <c r="J386" s="20">
        <f t="shared" ref="J386:J449" si="6">IF(G386&gt;=I386,G386*$M$2,0)</f>
        <v>0</v>
      </c>
      <c r="K386" s="21">
        <f>'Copy of All Sales'!$G386-'Copy of All Sales'!$I386</f>
        <v>-13117.36</v>
      </c>
    </row>
    <row r="387" spans="1:11" x14ac:dyDescent="0.25">
      <c r="A387" s="22">
        <v>44317</v>
      </c>
      <c r="B387" s="23"/>
      <c r="C387" s="23"/>
      <c r="D387" s="23" t="s">
        <v>137</v>
      </c>
      <c r="E387" s="23" t="str">
        <v/>
      </c>
      <c r="F387" s="23" t="s">
        <v>22</v>
      </c>
      <c r="G387" s="24">
        <v>2336.4</v>
      </c>
      <c r="H387" s="23" t="s">
        <v>15</v>
      </c>
      <c r="I387" s="24">
        <v>15000</v>
      </c>
      <c r="J387" s="24">
        <f t="shared" si="6"/>
        <v>0</v>
      </c>
      <c r="K387" s="25">
        <f>'Copy of All Sales'!$G387-'Copy of All Sales'!$I387</f>
        <v>-12663.6</v>
      </c>
    </row>
    <row r="388" spans="1:11" x14ac:dyDescent="0.25">
      <c r="A388" s="18">
        <v>44317</v>
      </c>
      <c r="B388" s="19" t="s">
        <v>66</v>
      </c>
      <c r="C388" s="19" t="s">
        <v>67</v>
      </c>
      <c r="D388" s="19" t="s">
        <v>65</v>
      </c>
      <c r="E388" s="19" t="str">
        <v>Spencer Cruz</v>
      </c>
      <c r="F388" s="19" t="s">
        <v>22</v>
      </c>
      <c r="G388" s="20">
        <v>9004.7999999999993</v>
      </c>
      <c r="H388" s="19" t="s">
        <v>11</v>
      </c>
      <c r="I388" s="20">
        <v>15000</v>
      </c>
      <c r="J388" s="20">
        <f t="shared" si="6"/>
        <v>0</v>
      </c>
      <c r="K388" s="21">
        <f>'Copy of All Sales'!$G388-'Copy of All Sales'!$I388</f>
        <v>-5995.2000000000007</v>
      </c>
    </row>
    <row r="389" spans="1:11" x14ac:dyDescent="0.25">
      <c r="A389" s="22">
        <v>44317</v>
      </c>
      <c r="B389" s="23" t="s">
        <v>54</v>
      </c>
      <c r="C389" s="23" t="s">
        <v>55</v>
      </c>
      <c r="D389" s="23" t="s">
        <v>53</v>
      </c>
      <c r="E389" s="23" t="str">
        <v>Josh Sutherland</v>
      </c>
      <c r="F389" s="23" t="s">
        <v>22</v>
      </c>
      <c r="G389" s="24">
        <v>18826.400000000001</v>
      </c>
      <c r="H389" s="23" t="s">
        <v>43</v>
      </c>
      <c r="I389" s="24">
        <v>15000</v>
      </c>
      <c r="J389" s="24">
        <f t="shared" si="6"/>
        <v>1882.6400000000003</v>
      </c>
      <c r="K389" s="25">
        <f>'Copy of All Sales'!$G389-'Copy of All Sales'!$I389</f>
        <v>3826.4000000000015</v>
      </c>
    </row>
    <row r="390" spans="1:11" x14ac:dyDescent="0.25">
      <c r="A390" s="18">
        <v>44317</v>
      </c>
      <c r="B390" s="19" t="s">
        <v>54</v>
      </c>
      <c r="C390" s="19" t="s">
        <v>55</v>
      </c>
      <c r="D390" s="19" t="s">
        <v>53</v>
      </c>
      <c r="E390" s="19" t="str">
        <v>Josh Sutherland</v>
      </c>
      <c r="F390" s="19" t="s">
        <v>22</v>
      </c>
      <c r="G390" s="20">
        <v>19617.5</v>
      </c>
      <c r="H390" s="19" t="s">
        <v>43</v>
      </c>
      <c r="I390" s="20">
        <v>15000</v>
      </c>
      <c r="J390" s="20">
        <f t="shared" si="6"/>
        <v>1961.75</v>
      </c>
      <c r="K390" s="21">
        <f>'Copy of All Sales'!$G390-'Copy of All Sales'!$I390</f>
        <v>4617.5</v>
      </c>
    </row>
    <row r="391" spans="1:11" x14ac:dyDescent="0.25">
      <c r="A391" s="22">
        <v>44317</v>
      </c>
      <c r="B391" s="23" t="s">
        <v>54</v>
      </c>
      <c r="C391" s="23" t="s">
        <v>55</v>
      </c>
      <c r="D391" s="23" t="s">
        <v>53</v>
      </c>
      <c r="E391" s="23" t="str">
        <v>Josh Sutherland</v>
      </c>
      <c r="F391" s="23" t="s">
        <v>22</v>
      </c>
      <c r="G391" s="24">
        <v>19836.400000000001</v>
      </c>
      <c r="H391" s="23" t="s">
        <v>11</v>
      </c>
      <c r="I391" s="24">
        <v>15000</v>
      </c>
      <c r="J391" s="24">
        <f t="shared" si="6"/>
        <v>1983.6400000000003</v>
      </c>
      <c r="K391" s="25">
        <f>'Copy of All Sales'!$G391-'Copy of All Sales'!$I391</f>
        <v>4836.4000000000015</v>
      </c>
    </row>
    <row r="392" spans="1:11" x14ac:dyDescent="0.25">
      <c r="A392" s="18">
        <v>44317</v>
      </c>
      <c r="B392" s="19" t="s">
        <v>45</v>
      </c>
      <c r="C392" s="19" t="s">
        <v>46</v>
      </c>
      <c r="D392" s="19" t="s">
        <v>44</v>
      </c>
      <c r="E392" s="19" t="str">
        <v>Ally Bryant</v>
      </c>
      <c r="F392" s="19" t="s">
        <v>22</v>
      </c>
      <c r="G392" s="20">
        <v>20717.599999999999</v>
      </c>
      <c r="H392" s="19" t="s">
        <v>15</v>
      </c>
      <c r="I392" s="20">
        <v>15000</v>
      </c>
      <c r="J392" s="20">
        <f t="shared" si="6"/>
        <v>2071.7599999999998</v>
      </c>
      <c r="K392" s="21">
        <f>'Copy of All Sales'!$G392-'Copy of All Sales'!$I392</f>
        <v>5717.5999999999985</v>
      </c>
    </row>
    <row r="393" spans="1:11" x14ac:dyDescent="0.25">
      <c r="A393" s="22">
        <v>44317</v>
      </c>
      <c r="B393" s="23" t="s">
        <v>38</v>
      </c>
      <c r="C393" s="23" t="s">
        <v>39</v>
      </c>
      <c r="D393" s="23" t="s">
        <v>37</v>
      </c>
      <c r="E393" s="23" t="str">
        <v>Tia Cruise</v>
      </c>
      <c r="F393" s="23" t="s">
        <v>22</v>
      </c>
      <c r="G393" s="24">
        <v>23364</v>
      </c>
      <c r="H393" s="23" t="s">
        <v>15</v>
      </c>
      <c r="I393" s="24">
        <v>15000</v>
      </c>
      <c r="J393" s="24">
        <f t="shared" si="6"/>
        <v>2336.4</v>
      </c>
      <c r="K393" s="25">
        <f>'Copy of All Sales'!$G393-'Copy of All Sales'!$I393</f>
        <v>8364</v>
      </c>
    </row>
    <row r="394" spans="1:11" x14ac:dyDescent="0.25">
      <c r="A394" s="18">
        <v>44317</v>
      </c>
      <c r="B394" s="19" t="s">
        <v>54</v>
      </c>
      <c r="C394" s="19" t="s">
        <v>55</v>
      </c>
      <c r="D394" s="19" t="s">
        <v>53</v>
      </c>
      <c r="E394" s="19" t="str">
        <v>Josh Sutherland</v>
      </c>
      <c r="F394" s="19" t="s">
        <v>22</v>
      </c>
      <c r="G394" s="20">
        <v>23997.600000000002</v>
      </c>
      <c r="H394" s="19" t="s">
        <v>11</v>
      </c>
      <c r="I394" s="20">
        <v>15000</v>
      </c>
      <c r="J394" s="20">
        <f t="shared" si="6"/>
        <v>2399.7600000000002</v>
      </c>
      <c r="K394" s="21">
        <f>'Copy of All Sales'!$G394-'Copy of All Sales'!$I394</f>
        <v>8997.6000000000022</v>
      </c>
    </row>
    <row r="395" spans="1:11" x14ac:dyDescent="0.25">
      <c r="A395" s="22">
        <v>44317</v>
      </c>
      <c r="B395" s="23" t="s">
        <v>66</v>
      </c>
      <c r="C395" s="23" t="s">
        <v>67</v>
      </c>
      <c r="D395" s="23" t="s">
        <v>65</v>
      </c>
      <c r="E395" s="23" t="str">
        <v>Spencer Cruz</v>
      </c>
      <c r="F395" s="23" t="s">
        <v>22</v>
      </c>
      <c r="G395" s="24">
        <v>27916.399999999998</v>
      </c>
      <c r="H395" s="23" t="s">
        <v>43</v>
      </c>
      <c r="I395" s="24">
        <v>15000</v>
      </c>
      <c r="J395" s="24">
        <f t="shared" si="6"/>
        <v>2791.64</v>
      </c>
      <c r="K395" s="25">
        <f>'Copy of All Sales'!$G395-'Copy of All Sales'!$I395</f>
        <v>12916.399999999998</v>
      </c>
    </row>
    <row r="396" spans="1:11" x14ac:dyDescent="0.25">
      <c r="A396" s="18">
        <v>44317</v>
      </c>
      <c r="B396" s="19" t="s">
        <v>66</v>
      </c>
      <c r="C396" s="19" t="s">
        <v>67</v>
      </c>
      <c r="D396" s="19" t="s">
        <v>65</v>
      </c>
      <c r="E396" s="19" t="str">
        <v>Spencer Cruz</v>
      </c>
      <c r="F396" s="19" t="s">
        <v>22</v>
      </c>
      <c r="G396" s="20">
        <v>42249.1</v>
      </c>
      <c r="H396" s="19" t="s">
        <v>15</v>
      </c>
      <c r="I396" s="20">
        <v>15000</v>
      </c>
      <c r="J396" s="20">
        <f t="shared" si="6"/>
        <v>4224.91</v>
      </c>
      <c r="K396" s="21">
        <f>'Copy of All Sales'!$G396-'Copy of All Sales'!$I396</f>
        <v>27249.1</v>
      </c>
    </row>
    <row r="397" spans="1:11" x14ac:dyDescent="0.25">
      <c r="A397" s="22">
        <v>44348</v>
      </c>
      <c r="B397" s="23"/>
      <c r="C397" s="23"/>
      <c r="D397" s="23" t="s">
        <v>137</v>
      </c>
      <c r="E397" s="23" t="str">
        <v/>
      </c>
      <c r="F397" s="23" t="s">
        <v>22</v>
      </c>
      <c r="G397" s="24">
        <v>957.48</v>
      </c>
      <c r="H397" s="23" t="s">
        <v>15</v>
      </c>
      <c r="I397" s="24">
        <v>15000</v>
      </c>
      <c r="J397" s="24">
        <f t="shared" si="6"/>
        <v>0</v>
      </c>
      <c r="K397" s="25">
        <f>'Copy of All Sales'!$G397-'Copy of All Sales'!$I397</f>
        <v>-14042.52</v>
      </c>
    </row>
    <row r="398" spans="1:11" x14ac:dyDescent="0.25">
      <c r="A398" s="18">
        <v>44348</v>
      </c>
      <c r="B398" s="19"/>
      <c r="C398" s="19"/>
      <c r="D398" s="19" t="s">
        <v>137</v>
      </c>
      <c r="E398" s="19" t="str">
        <v/>
      </c>
      <c r="F398" s="19" t="s">
        <v>22</v>
      </c>
      <c r="G398" s="20">
        <v>1506.1200000000001</v>
      </c>
      <c r="H398" s="19" t="s">
        <v>15</v>
      </c>
      <c r="I398" s="20">
        <v>15000</v>
      </c>
      <c r="J398" s="20">
        <f t="shared" si="6"/>
        <v>0</v>
      </c>
      <c r="K398" s="21">
        <f>'Copy of All Sales'!$G398-'Copy of All Sales'!$I398</f>
        <v>-13493.88</v>
      </c>
    </row>
    <row r="399" spans="1:11" x14ac:dyDescent="0.25">
      <c r="A399" s="22">
        <v>44348</v>
      </c>
      <c r="B399" s="23"/>
      <c r="C399" s="23"/>
      <c r="D399" s="23" t="s">
        <v>137</v>
      </c>
      <c r="E399" s="23" t="str">
        <v/>
      </c>
      <c r="F399" s="23" t="s">
        <v>22</v>
      </c>
      <c r="G399" s="24">
        <v>3965.3900000000003</v>
      </c>
      <c r="H399" s="23" t="s">
        <v>43</v>
      </c>
      <c r="I399" s="24">
        <v>15000</v>
      </c>
      <c r="J399" s="24">
        <f t="shared" si="6"/>
        <v>0</v>
      </c>
      <c r="K399" s="25">
        <f>'Copy of All Sales'!$G399-'Copy of All Sales'!$I399</f>
        <v>-11034.61</v>
      </c>
    </row>
    <row r="400" spans="1:11" x14ac:dyDescent="0.25">
      <c r="A400" s="18">
        <v>44348</v>
      </c>
      <c r="B400" s="19"/>
      <c r="C400" s="19"/>
      <c r="D400" s="19" t="s">
        <v>137</v>
      </c>
      <c r="E400" s="19" t="str">
        <v/>
      </c>
      <c r="F400" s="19" t="s">
        <v>22</v>
      </c>
      <c r="G400" s="20">
        <v>3719.25</v>
      </c>
      <c r="H400" s="19" t="s">
        <v>43</v>
      </c>
      <c r="I400" s="20">
        <v>15000</v>
      </c>
      <c r="J400" s="20">
        <f t="shared" si="6"/>
        <v>0</v>
      </c>
      <c r="K400" s="21">
        <f>'Copy of All Sales'!$G400-'Copy of All Sales'!$I400</f>
        <v>-11280.75</v>
      </c>
    </row>
    <row r="401" spans="1:11" x14ac:dyDescent="0.25">
      <c r="A401" s="22">
        <v>44348</v>
      </c>
      <c r="B401" s="23"/>
      <c r="C401" s="23"/>
      <c r="D401" s="23" t="s">
        <v>137</v>
      </c>
      <c r="E401" s="23" t="str">
        <v/>
      </c>
      <c r="F401" s="23" t="s">
        <v>22</v>
      </c>
      <c r="G401" s="24">
        <v>1430.16</v>
      </c>
      <c r="H401" s="23" t="s">
        <v>15</v>
      </c>
      <c r="I401" s="24">
        <v>15000</v>
      </c>
      <c r="J401" s="24">
        <f t="shared" si="6"/>
        <v>0</v>
      </c>
      <c r="K401" s="25">
        <f>'Copy of All Sales'!$G401-'Copy of All Sales'!$I401</f>
        <v>-13569.84</v>
      </c>
    </row>
    <row r="402" spans="1:11" x14ac:dyDescent="0.25">
      <c r="A402" s="18">
        <v>44348</v>
      </c>
      <c r="B402" s="19"/>
      <c r="C402" s="19"/>
      <c r="D402" s="19" t="s">
        <v>137</v>
      </c>
      <c r="E402" s="19" t="str">
        <v/>
      </c>
      <c r="F402" s="19" t="s">
        <v>22</v>
      </c>
      <c r="G402" s="20">
        <v>1726.2</v>
      </c>
      <c r="H402" s="19" t="s">
        <v>15</v>
      </c>
      <c r="I402" s="20">
        <v>15000</v>
      </c>
      <c r="J402" s="20">
        <f t="shared" si="6"/>
        <v>0</v>
      </c>
      <c r="K402" s="21">
        <f>'Copy of All Sales'!$G402-'Copy of All Sales'!$I402</f>
        <v>-13273.8</v>
      </c>
    </row>
    <row r="403" spans="1:11" x14ac:dyDescent="0.25">
      <c r="A403" s="22">
        <v>44348</v>
      </c>
      <c r="B403" s="23" t="s">
        <v>45</v>
      </c>
      <c r="C403" s="23" t="s">
        <v>46</v>
      </c>
      <c r="D403" s="23" t="s">
        <v>44</v>
      </c>
      <c r="E403" s="23" t="str">
        <v>Ally Bryant</v>
      </c>
      <c r="F403" s="23" t="s">
        <v>22</v>
      </c>
      <c r="G403" s="24">
        <v>9574.7999999999993</v>
      </c>
      <c r="H403" s="23" t="s">
        <v>15</v>
      </c>
      <c r="I403" s="24">
        <v>15000</v>
      </c>
      <c r="J403" s="24">
        <f t="shared" si="6"/>
        <v>0</v>
      </c>
      <c r="K403" s="25">
        <f>'Copy of All Sales'!$G403-'Copy of All Sales'!$I403</f>
        <v>-5425.2000000000007</v>
      </c>
    </row>
    <row r="404" spans="1:11" x14ac:dyDescent="0.25">
      <c r="A404" s="18">
        <v>44348</v>
      </c>
      <c r="B404" s="19" t="s">
        <v>45</v>
      </c>
      <c r="C404" s="19" t="s">
        <v>46</v>
      </c>
      <c r="D404" s="19" t="s">
        <v>44</v>
      </c>
      <c r="E404" s="19" t="str">
        <v>Ally Bryant</v>
      </c>
      <c r="F404" s="19" t="s">
        <v>22</v>
      </c>
      <c r="G404" s="20">
        <v>14301.6</v>
      </c>
      <c r="H404" s="19" t="s">
        <v>15</v>
      </c>
      <c r="I404" s="20">
        <v>15000</v>
      </c>
      <c r="J404" s="20">
        <f t="shared" si="6"/>
        <v>0</v>
      </c>
      <c r="K404" s="21">
        <f>'Copy of All Sales'!$G404-'Copy of All Sales'!$I404</f>
        <v>-698.39999999999964</v>
      </c>
    </row>
    <row r="405" spans="1:11" x14ac:dyDescent="0.25">
      <c r="A405" s="22">
        <v>44348</v>
      </c>
      <c r="B405" s="23" t="s">
        <v>38</v>
      </c>
      <c r="C405" s="23" t="s">
        <v>39</v>
      </c>
      <c r="D405" s="23" t="s">
        <v>37</v>
      </c>
      <c r="E405" s="23" t="str">
        <v>Tia Cruise</v>
      </c>
      <c r="F405" s="23" t="s">
        <v>22</v>
      </c>
      <c r="G405" s="24">
        <v>15061.2</v>
      </c>
      <c r="H405" s="23" t="s">
        <v>15</v>
      </c>
      <c r="I405" s="24">
        <v>15000</v>
      </c>
      <c r="J405" s="24">
        <f t="shared" si="6"/>
        <v>1506.1200000000001</v>
      </c>
      <c r="K405" s="25">
        <f>'Copy of All Sales'!$G405-'Copy of All Sales'!$I405</f>
        <v>61.200000000000728</v>
      </c>
    </row>
    <row r="406" spans="1:11" x14ac:dyDescent="0.25">
      <c r="A406" s="18">
        <v>44348</v>
      </c>
      <c r="B406" s="19" t="s">
        <v>54</v>
      </c>
      <c r="C406" s="19" t="s">
        <v>55</v>
      </c>
      <c r="D406" s="19" t="s">
        <v>53</v>
      </c>
      <c r="E406" s="19" t="str">
        <v>Josh Sutherland</v>
      </c>
      <c r="F406" s="19" t="s">
        <v>22</v>
      </c>
      <c r="G406" s="20">
        <v>17262</v>
      </c>
      <c r="H406" s="19" t="s">
        <v>15</v>
      </c>
      <c r="I406" s="20">
        <v>15000</v>
      </c>
      <c r="J406" s="20">
        <f t="shared" si="6"/>
        <v>1726.2</v>
      </c>
      <c r="K406" s="21">
        <f>'Copy of All Sales'!$G406-'Copy of All Sales'!$I406</f>
        <v>2262</v>
      </c>
    </row>
    <row r="407" spans="1:11" x14ac:dyDescent="0.25">
      <c r="A407" s="22">
        <v>44348</v>
      </c>
      <c r="B407" s="23" t="s">
        <v>66</v>
      </c>
      <c r="C407" s="23" t="s">
        <v>67</v>
      </c>
      <c r="D407" s="23" t="s">
        <v>65</v>
      </c>
      <c r="E407" s="23" t="str">
        <v>Spencer Cruz</v>
      </c>
      <c r="F407" s="23" t="s">
        <v>22</v>
      </c>
      <c r="G407" s="24">
        <v>37192.5</v>
      </c>
      <c r="H407" s="23" t="s">
        <v>43</v>
      </c>
      <c r="I407" s="24">
        <v>15000</v>
      </c>
      <c r="J407" s="24">
        <f t="shared" si="6"/>
        <v>3719.25</v>
      </c>
      <c r="K407" s="25">
        <f>'Copy of All Sales'!$G407-'Copy of All Sales'!$I407</f>
        <v>22192.5</v>
      </c>
    </row>
    <row r="408" spans="1:11" x14ac:dyDescent="0.25">
      <c r="A408" s="18">
        <v>44348</v>
      </c>
      <c r="B408" s="19" t="s">
        <v>38</v>
      </c>
      <c r="C408" s="19" t="s">
        <v>39</v>
      </c>
      <c r="D408" s="19" t="s">
        <v>37</v>
      </c>
      <c r="E408" s="19" t="str">
        <v>Tia Cruise</v>
      </c>
      <c r="F408" s="19" t="s">
        <v>22</v>
      </c>
      <c r="G408" s="20">
        <v>39653.9</v>
      </c>
      <c r="H408" s="19" t="s">
        <v>43</v>
      </c>
      <c r="I408" s="20">
        <v>15000</v>
      </c>
      <c r="J408" s="20">
        <f t="shared" si="6"/>
        <v>3965.3900000000003</v>
      </c>
      <c r="K408" s="21">
        <f>'Copy of All Sales'!$G408-'Copy of All Sales'!$I408</f>
        <v>24653.9</v>
      </c>
    </row>
    <row r="409" spans="1:11" x14ac:dyDescent="0.25">
      <c r="A409" s="22">
        <v>44378</v>
      </c>
      <c r="B409" s="23"/>
      <c r="C409" s="23"/>
      <c r="D409" s="23" t="s">
        <v>137</v>
      </c>
      <c r="E409" s="23" t="str">
        <v/>
      </c>
      <c r="F409" s="23" t="s">
        <v>22</v>
      </c>
      <c r="G409" s="24">
        <v>533.28</v>
      </c>
      <c r="H409" s="23" t="s">
        <v>15</v>
      </c>
      <c r="I409" s="24">
        <v>15000</v>
      </c>
      <c r="J409" s="24">
        <f t="shared" si="6"/>
        <v>0</v>
      </c>
      <c r="K409" s="25">
        <f>'Copy of All Sales'!$G409-'Copy of All Sales'!$I409</f>
        <v>-14466.72</v>
      </c>
    </row>
    <row r="410" spans="1:11" x14ac:dyDescent="0.25">
      <c r="A410" s="18">
        <v>44378</v>
      </c>
      <c r="B410" s="19"/>
      <c r="C410" s="19"/>
      <c r="D410" s="19" t="s">
        <v>137</v>
      </c>
      <c r="E410" s="19" t="str">
        <v/>
      </c>
      <c r="F410" s="19" t="s">
        <v>22</v>
      </c>
      <c r="G410" s="20">
        <v>346.5</v>
      </c>
      <c r="H410" s="19" t="s">
        <v>15</v>
      </c>
      <c r="I410" s="20">
        <v>15000</v>
      </c>
      <c r="J410" s="20">
        <f t="shared" si="6"/>
        <v>0</v>
      </c>
      <c r="K410" s="21">
        <f>'Copy of All Sales'!$G410-'Copy of All Sales'!$I410</f>
        <v>-14653.5</v>
      </c>
    </row>
    <row r="411" spans="1:11" x14ac:dyDescent="0.25">
      <c r="A411" s="22">
        <v>44378</v>
      </c>
      <c r="B411" s="23"/>
      <c r="C411" s="23"/>
      <c r="D411" s="23" t="s">
        <v>137</v>
      </c>
      <c r="E411" s="23" t="str">
        <v/>
      </c>
      <c r="F411" s="23" t="s">
        <v>22</v>
      </c>
      <c r="G411" s="24">
        <v>806.56</v>
      </c>
      <c r="H411" s="23" t="s">
        <v>43</v>
      </c>
      <c r="I411" s="24">
        <v>15000</v>
      </c>
      <c r="J411" s="24">
        <f t="shared" si="6"/>
        <v>0</v>
      </c>
      <c r="K411" s="25">
        <f>'Copy of All Sales'!$G411-'Copy of All Sales'!$I411</f>
        <v>-14193.44</v>
      </c>
    </row>
    <row r="412" spans="1:11" x14ac:dyDescent="0.25">
      <c r="A412" s="18">
        <v>44378</v>
      </c>
      <c r="B412" s="19"/>
      <c r="C412" s="19"/>
      <c r="D412" s="19" t="s">
        <v>137</v>
      </c>
      <c r="E412" s="19" t="str">
        <v/>
      </c>
      <c r="F412" s="19" t="s">
        <v>22</v>
      </c>
      <c r="G412" s="20">
        <v>1154.3</v>
      </c>
      <c r="H412" s="19" t="s">
        <v>11</v>
      </c>
      <c r="I412" s="20">
        <v>15000</v>
      </c>
      <c r="J412" s="20">
        <f t="shared" si="6"/>
        <v>0</v>
      </c>
      <c r="K412" s="21">
        <f>'Copy of All Sales'!$G412-'Copy of All Sales'!$I412</f>
        <v>-13845.7</v>
      </c>
    </row>
    <row r="413" spans="1:11" x14ac:dyDescent="0.25">
      <c r="A413" s="22">
        <v>44378</v>
      </c>
      <c r="B413" s="23"/>
      <c r="C413" s="23"/>
      <c r="D413" s="23" t="s">
        <v>137</v>
      </c>
      <c r="E413" s="23" t="str">
        <v/>
      </c>
      <c r="F413" s="23" t="s">
        <v>22</v>
      </c>
      <c r="G413" s="24">
        <v>1115.55</v>
      </c>
      <c r="H413" s="23" t="s">
        <v>11</v>
      </c>
      <c r="I413" s="24">
        <v>15000</v>
      </c>
      <c r="J413" s="24">
        <f t="shared" si="6"/>
        <v>0</v>
      </c>
      <c r="K413" s="25">
        <f>'Copy of All Sales'!$G413-'Copy of All Sales'!$I413</f>
        <v>-13884.45</v>
      </c>
    </row>
    <row r="414" spans="1:11" x14ac:dyDescent="0.25">
      <c r="A414" s="18">
        <v>44378</v>
      </c>
      <c r="B414" s="19"/>
      <c r="C414" s="19"/>
      <c r="D414" s="19" t="s">
        <v>137</v>
      </c>
      <c r="E414" s="19" t="str">
        <v/>
      </c>
      <c r="F414" s="19" t="s">
        <v>22</v>
      </c>
      <c r="G414" s="20">
        <v>1064.8999999999999</v>
      </c>
      <c r="H414" s="19" t="s">
        <v>43</v>
      </c>
      <c r="I414" s="20">
        <v>15000</v>
      </c>
      <c r="J414" s="20">
        <f t="shared" si="6"/>
        <v>0</v>
      </c>
      <c r="K414" s="21">
        <f>'Copy of All Sales'!$G414-'Copy of All Sales'!$I414</f>
        <v>-13935.1</v>
      </c>
    </row>
    <row r="415" spans="1:11" x14ac:dyDescent="0.25">
      <c r="A415" s="22">
        <v>44378</v>
      </c>
      <c r="B415" s="23"/>
      <c r="C415" s="23"/>
      <c r="D415" s="23" t="s">
        <v>137</v>
      </c>
      <c r="E415" s="23" t="str">
        <v/>
      </c>
      <c r="F415" s="23" t="s">
        <v>22</v>
      </c>
      <c r="G415" s="24">
        <v>2439.5100000000002</v>
      </c>
      <c r="H415" s="23" t="s">
        <v>11</v>
      </c>
      <c r="I415" s="24">
        <v>15000</v>
      </c>
      <c r="J415" s="24">
        <f t="shared" si="6"/>
        <v>0</v>
      </c>
      <c r="K415" s="25">
        <f>'Copy of All Sales'!$G415-'Copy of All Sales'!$I415</f>
        <v>-12560.49</v>
      </c>
    </row>
    <row r="416" spans="1:11" x14ac:dyDescent="0.25">
      <c r="A416" s="18">
        <v>44378</v>
      </c>
      <c r="B416" s="19"/>
      <c r="C416" s="19"/>
      <c r="D416" s="19" t="s">
        <v>137</v>
      </c>
      <c r="E416" s="19" t="str">
        <v/>
      </c>
      <c r="F416" s="19" t="s">
        <v>22</v>
      </c>
      <c r="G416" s="20">
        <v>1563.32</v>
      </c>
      <c r="H416" s="19" t="s">
        <v>15</v>
      </c>
      <c r="I416" s="20">
        <v>15000</v>
      </c>
      <c r="J416" s="20">
        <f t="shared" si="6"/>
        <v>0</v>
      </c>
      <c r="K416" s="21">
        <f>'Copy of All Sales'!$G416-'Copy of All Sales'!$I416</f>
        <v>-13436.68</v>
      </c>
    </row>
    <row r="417" spans="1:11" x14ac:dyDescent="0.25">
      <c r="A417" s="22">
        <v>44378</v>
      </c>
      <c r="B417" s="23"/>
      <c r="C417" s="23"/>
      <c r="D417" s="23" t="s">
        <v>137</v>
      </c>
      <c r="E417" s="23" t="str">
        <v/>
      </c>
      <c r="F417" s="23" t="s">
        <v>22</v>
      </c>
      <c r="G417" s="24">
        <v>1067.94</v>
      </c>
      <c r="H417" s="23" t="s">
        <v>43</v>
      </c>
      <c r="I417" s="24">
        <v>15000</v>
      </c>
      <c r="J417" s="24">
        <f t="shared" si="6"/>
        <v>0</v>
      </c>
      <c r="K417" s="25">
        <f>'Copy of All Sales'!$G417-'Copy of All Sales'!$I417</f>
        <v>-13932.06</v>
      </c>
    </row>
    <row r="418" spans="1:11" x14ac:dyDescent="0.25">
      <c r="A418" s="18">
        <v>44378</v>
      </c>
      <c r="B418" s="19"/>
      <c r="C418" s="19"/>
      <c r="D418" s="19" t="s">
        <v>137</v>
      </c>
      <c r="E418" s="19" t="str">
        <v/>
      </c>
      <c r="F418" s="19" t="s">
        <v>22</v>
      </c>
      <c r="G418" s="20">
        <v>2086.8399999999997</v>
      </c>
      <c r="H418" s="19" t="s">
        <v>15</v>
      </c>
      <c r="I418" s="20">
        <v>15000</v>
      </c>
      <c r="J418" s="20">
        <f t="shared" si="6"/>
        <v>0</v>
      </c>
      <c r="K418" s="21">
        <f>'Copy of All Sales'!$G418-'Copy of All Sales'!$I418</f>
        <v>-12913.16</v>
      </c>
    </row>
    <row r="419" spans="1:11" x14ac:dyDescent="0.25">
      <c r="A419" s="22">
        <v>44378</v>
      </c>
      <c r="B419" s="23"/>
      <c r="C419" s="23"/>
      <c r="D419" s="23" t="s">
        <v>137</v>
      </c>
      <c r="E419" s="23" t="str">
        <v/>
      </c>
      <c r="F419" s="23" t="s">
        <v>22</v>
      </c>
      <c r="G419" s="24">
        <v>1006.72</v>
      </c>
      <c r="H419" s="23" t="s">
        <v>43</v>
      </c>
      <c r="I419" s="24">
        <v>15000</v>
      </c>
      <c r="J419" s="24">
        <f t="shared" si="6"/>
        <v>0</v>
      </c>
      <c r="K419" s="25">
        <f>'Copy of All Sales'!$G419-'Copy of All Sales'!$I419</f>
        <v>-13993.28</v>
      </c>
    </row>
    <row r="420" spans="1:11" x14ac:dyDescent="0.25">
      <c r="A420" s="18">
        <v>44378</v>
      </c>
      <c r="B420" s="19" t="s">
        <v>38</v>
      </c>
      <c r="C420" s="19" t="s">
        <v>39</v>
      </c>
      <c r="D420" s="19" t="s">
        <v>37</v>
      </c>
      <c r="E420" s="19" t="str">
        <v>Tia Cruise</v>
      </c>
      <c r="F420" s="19" t="s">
        <v>22</v>
      </c>
      <c r="G420" s="20">
        <v>3465</v>
      </c>
      <c r="H420" s="19" t="s">
        <v>15</v>
      </c>
      <c r="I420" s="20">
        <v>15000</v>
      </c>
      <c r="J420" s="20">
        <f t="shared" si="6"/>
        <v>0</v>
      </c>
      <c r="K420" s="21">
        <f>'Copy of All Sales'!$G420-'Copy of All Sales'!$I420</f>
        <v>-11535</v>
      </c>
    </row>
    <row r="421" spans="1:11" x14ac:dyDescent="0.25">
      <c r="A421" s="22">
        <v>44378</v>
      </c>
      <c r="B421" s="23" t="s">
        <v>54</v>
      </c>
      <c r="C421" s="23" t="s">
        <v>55</v>
      </c>
      <c r="D421" s="23" t="s">
        <v>53</v>
      </c>
      <c r="E421" s="23" t="str">
        <v>Josh Sutherland</v>
      </c>
      <c r="F421" s="23" t="s">
        <v>22</v>
      </c>
      <c r="G421" s="24">
        <v>5332.7999999999993</v>
      </c>
      <c r="H421" s="23" t="s">
        <v>15</v>
      </c>
      <c r="I421" s="24">
        <v>15000</v>
      </c>
      <c r="J421" s="24">
        <f t="shared" si="6"/>
        <v>0</v>
      </c>
      <c r="K421" s="25">
        <f>'Copy of All Sales'!$G421-'Copy of All Sales'!$I421</f>
        <v>-9667.2000000000007</v>
      </c>
    </row>
    <row r="422" spans="1:11" x14ac:dyDescent="0.25">
      <c r="A422" s="18">
        <v>44378</v>
      </c>
      <c r="B422" s="19" t="s">
        <v>45</v>
      </c>
      <c r="C422" s="19" t="s">
        <v>46</v>
      </c>
      <c r="D422" s="19" t="s">
        <v>44</v>
      </c>
      <c r="E422" s="19" t="str">
        <v>Ally Bryant</v>
      </c>
      <c r="F422" s="19" t="s">
        <v>22</v>
      </c>
      <c r="G422" s="20">
        <v>8065.5999999999995</v>
      </c>
      <c r="H422" s="19" t="s">
        <v>43</v>
      </c>
      <c r="I422" s="20">
        <v>15000</v>
      </c>
      <c r="J422" s="20">
        <f t="shared" si="6"/>
        <v>0</v>
      </c>
      <c r="K422" s="21">
        <f>'Copy of All Sales'!$G422-'Copy of All Sales'!$I422</f>
        <v>-6934.4000000000005</v>
      </c>
    </row>
    <row r="423" spans="1:11" x14ac:dyDescent="0.25">
      <c r="A423" s="22">
        <v>44378</v>
      </c>
      <c r="B423" s="23" t="s">
        <v>45</v>
      </c>
      <c r="C423" s="23" t="s">
        <v>46</v>
      </c>
      <c r="D423" s="23" t="s">
        <v>44</v>
      </c>
      <c r="E423" s="23" t="str">
        <v>Ally Bryant</v>
      </c>
      <c r="F423" s="23" t="s">
        <v>22</v>
      </c>
      <c r="G423" s="24">
        <v>10067.200000000001</v>
      </c>
      <c r="H423" s="23" t="s">
        <v>43</v>
      </c>
      <c r="I423" s="24">
        <v>15000</v>
      </c>
      <c r="J423" s="24">
        <f t="shared" si="6"/>
        <v>0</v>
      </c>
      <c r="K423" s="25">
        <f>'Copy of All Sales'!$G423-'Copy of All Sales'!$I423</f>
        <v>-4932.7999999999993</v>
      </c>
    </row>
    <row r="424" spans="1:11" x14ac:dyDescent="0.25">
      <c r="A424" s="18">
        <v>44378</v>
      </c>
      <c r="B424" s="19" t="s">
        <v>45</v>
      </c>
      <c r="C424" s="19" t="s">
        <v>46</v>
      </c>
      <c r="D424" s="19" t="s">
        <v>44</v>
      </c>
      <c r="E424" s="19" t="str">
        <v>Ally Bryant</v>
      </c>
      <c r="F424" s="19" t="s">
        <v>22</v>
      </c>
      <c r="G424" s="20">
        <v>10648.999999999998</v>
      </c>
      <c r="H424" s="19" t="s">
        <v>43</v>
      </c>
      <c r="I424" s="20">
        <v>15000</v>
      </c>
      <c r="J424" s="20">
        <f t="shared" si="6"/>
        <v>0</v>
      </c>
      <c r="K424" s="21">
        <f>'Copy of All Sales'!$G424-'Copy of All Sales'!$I424</f>
        <v>-4351.0000000000018</v>
      </c>
    </row>
    <row r="425" spans="1:11" x14ac:dyDescent="0.25">
      <c r="A425" s="22">
        <v>44378</v>
      </c>
      <c r="B425" s="23" t="s">
        <v>54</v>
      </c>
      <c r="C425" s="23" t="s">
        <v>55</v>
      </c>
      <c r="D425" s="23" t="s">
        <v>53</v>
      </c>
      <c r="E425" s="23" t="str">
        <v>Josh Sutherland</v>
      </c>
      <c r="F425" s="23" t="s">
        <v>22</v>
      </c>
      <c r="G425" s="24">
        <v>10679.400000000001</v>
      </c>
      <c r="H425" s="23" t="s">
        <v>43</v>
      </c>
      <c r="I425" s="24">
        <v>15000</v>
      </c>
      <c r="J425" s="24">
        <f t="shared" si="6"/>
        <v>0</v>
      </c>
      <c r="K425" s="25">
        <f>'Copy of All Sales'!$G425-'Copy of All Sales'!$I425</f>
        <v>-4320.5999999999985</v>
      </c>
    </row>
    <row r="426" spans="1:11" x14ac:dyDescent="0.25">
      <c r="A426" s="18">
        <v>44378</v>
      </c>
      <c r="B426" s="19" t="s">
        <v>66</v>
      </c>
      <c r="C426" s="19" t="s">
        <v>67</v>
      </c>
      <c r="D426" s="19" t="s">
        <v>65</v>
      </c>
      <c r="E426" s="19" t="str">
        <v>Spencer Cruz</v>
      </c>
      <c r="F426" s="19" t="s">
        <v>22</v>
      </c>
      <c r="G426" s="20">
        <v>11155.5</v>
      </c>
      <c r="H426" s="19" t="s">
        <v>11</v>
      </c>
      <c r="I426" s="20">
        <v>15000</v>
      </c>
      <c r="J426" s="20">
        <f t="shared" si="6"/>
        <v>0</v>
      </c>
      <c r="K426" s="21">
        <f>'Copy of All Sales'!$G426-'Copy of All Sales'!$I426</f>
        <v>-3844.5</v>
      </c>
    </row>
    <row r="427" spans="1:11" x14ac:dyDescent="0.25">
      <c r="A427" s="22">
        <v>44378</v>
      </c>
      <c r="B427" s="23" t="s">
        <v>45</v>
      </c>
      <c r="C427" s="23" t="s">
        <v>46</v>
      </c>
      <c r="D427" s="23" t="s">
        <v>44</v>
      </c>
      <c r="E427" s="23" t="str">
        <v>Ally Bryant</v>
      </c>
      <c r="F427" s="23" t="s">
        <v>22</v>
      </c>
      <c r="G427" s="24">
        <v>11543</v>
      </c>
      <c r="H427" s="23" t="s">
        <v>11</v>
      </c>
      <c r="I427" s="24">
        <v>15000</v>
      </c>
      <c r="J427" s="24">
        <f t="shared" si="6"/>
        <v>0</v>
      </c>
      <c r="K427" s="25">
        <f>'Copy of All Sales'!$G427-'Copy of All Sales'!$I427</f>
        <v>-3457</v>
      </c>
    </row>
    <row r="428" spans="1:11" x14ac:dyDescent="0.25">
      <c r="A428" s="18">
        <v>44378</v>
      </c>
      <c r="B428" s="19" t="s">
        <v>45</v>
      </c>
      <c r="C428" s="19" t="s">
        <v>46</v>
      </c>
      <c r="D428" s="19" t="s">
        <v>44</v>
      </c>
      <c r="E428" s="19" t="str">
        <v>Ally Bryant</v>
      </c>
      <c r="F428" s="19" t="s">
        <v>22</v>
      </c>
      <c r="G428" s="20">
        <v>15633.199999999999</v>
      </c>
      <c r="H428" s="19" t="s">
        <v>15</v>
      </c>
      <c r="I428" s="20">
        <v>15000</v>
      </c>
      <c r="J428" s="20">
        <f t="shared" si="6"/>
        <v>1563.32</v>
      </c>
      <c r="K428" s="21">
        <f>'Copy of All Sales'!$G428-'Copy of All Sales'!$I428</f>
        <v>633.19999999999891</v>
      </c>
    </row>
    <row r="429" spans="1:11" x14ac:dyDescent="0.25">
      <c r="A429" s="22">
        <v>44378</v>
      </c>
      <c r="B429" s="23" t="s">
        <v>45</v>
      </c>
      <c r="C429" s="23" t="s">
        <v>46</v>
      </c>
      <c r="D429" s="23" t="s">
        <v>44</v>
      </c>
      <c r="E429" s="23" t="str">
        <v>Ally Bryant</v>
      </c>
      <c r="F429" s="23" t="s">
        <v>22</v>
      </c>
      <c r="G429" s="24">
        <v>20868.399999999998</v>
      </c>
      <c r="H429" s="23" t="s">
        <v>15</v>
      </c>
      <c r="I429" s="24">
        <v>15000</v>
      </c>
      <c r="J429" s="24">
        <f t="shared" si="6"/>
        <v>2086.8399999999997</v>
      </c>
      <c r="K429" s="25">
        <f>'Copy of All Sales'!$G429-'Copy of All Sales'!$I429</f>
        <v>5868.3999999999978</v>
      </c>
    </row>
    <row r="430" spans="1:11" x14ac:dyDescent="0.25">
      <c r="A430" s="18">
        <v>44378</v>
      </c>
      <c r="B430" s="19" t="s">
        <v>45</v>
      </c>
      <c r="C430" s="19" t="s">
        <v>46</v>
      </c>
      <c r="D430" s="19" t="s">
        <v>44</v>
      </c>
      <c r="E430" s="19" t="str">
        <v>Ally Bryant</v>
      </c>
      <c r="F430" s="19" t="s">
        <v>22</v>
      </c>
      <c r="G430" s="20">
        <v>24395.100000000002</v>
      </c>
      <c r="H430" s="19" t="s">
        <v>11</v>
      </c>
      <c r="I430" s="20">
        <v>15000</v>
      </c>
      <c r="J430" s="20">
        <f t="shared" si="6"/>
        <v>2439.5100000000002</v>
      </c>
      <c r="K430" s="21">
        <f>'Copy of All Sales'!$G430-'Copy of All Sales'!$I430</f>
        <v>9395.1000000000022</v>
      </c>
    </row>
    <row r="431" spans="1:11" x14ac:dyDescent="0.25">
      <c r="A431" s="22">
        <v>44409</v>
      </c>
      <c r="B431" s="23"/>
      <c r="C431" s="23"/>
      <c r="D431" s="23" t="s">
        <v>137</v>
      </c>
      <c r="E431" s="23" t="str">
        <v/>
      </c>
      <c r="F431" s="23" t="s">
        <v>22</v>
      </c>
      <c r="G431" s="24">
        <v>376.05</v>
      </c>
      <c r="H431" s="23" t="s">
        <v>11</v>
      </c>
      <c r="I431" s="24">
        <v>15000</v>
      </c>
      <c r="J431" s="24">
        <f t="shared" si="6"/>
        <v>0</v>
      </c>
      <c r="K431" s="25">
        <f>'Copy of All Sales'!$G431-'Copy of All Sales'!$I431</f>
        <v>-14623.95</v>
      </c>
    </row>
    <row r="432" spans="1:11" x14ac:dyDescent="0.25">
      <c r="A432" s="18">
        <v>44409</v>
      </c>
      <c r="B432" s="19"/>
      <c r="C432" s="19"/>
      <c r="D432" s="19" t="s">
        <v>137</v>
      </c>
      <c r="E432" s="19" t="str">
        <v/>
      </c>
      <c r="F432" s="19" t="s">
        <v>22</v>
      </c>
      <c r="G432" s="20">
        <v>3608.81</v>
      </c>
      <c r="H432" s="19" t="s">
        <v>43</v>
      </c>
      <c r="I432" s="20">
        <v>15000</v>
      </c>
      <c r="J432" s="20">
        <f t="shared" si="6"/>
        <v>0</v>
      </c>
      <c r="K432" s="21">
        <f>'Copy of All Sales'!$G432-'Copy of All Sales'!$I432</f>
        <v>-11391.19</v>
      </c>
    </row>
    <row r="433" spans="1:11" x14ac:dyDescent="0.25">
      <c r="A433" s="22">
        <v>44409</v>
      </c>
      <c r="B433" s="23"/>
      <c r="C433" s="23"/>
      <c r="D433" s="23" t="s">
        <v>137</v>
      </c>
      <c r="E433" s="23" t="str">
        <v/>
      </c>
      <c r="F433" s="23" t="s">
        <v>22</v>
      </c>
      <c r="G433" s="24">
        <v>969.76</v>
      </c>
      <c r="H433" s="23" t="s">
        <v>15</v>
      </c>
      <c r="I433" s="24">
        <v>15000</v>
      </c>
      <c r="J433" s="24">
        <f t="shared" si="6"/>
        <v>0</v>
      </c>
      <c r="K433" s="25">
        <f>'Copy of All Sales'!$G433-'Copy of All Sales'!$I433</f>
        <v>-14030.24</v>
      </c>
    </row>
    <row r="434" spans="1:11" x14ac:dyDescent="0.25">
      <c r="A434" s="18">
        <v>44409</v>
      </c>
      <c r="B434" s="19"/>
      <c r="C434" s="19"/>
      <c r="D434" s="19" t="s">
        <v>137</v>
      </c>
      <c r="E434" s="19" t="str">
        <v/>
      </c>
      <c r="F434" s="19" t="s">
        <v>22</v>
      </c>
      <c r="G434" s="20">
        <v>2247.79</v>
      </c>
      <c r="H434" s="19" t="s">
        <v>15</v>
      </c>
      <c r="I434" s="20">
        <v>15000</v>
      </c>
      <c r="J434" s="20">
        <f t="shared" si="6"/>
        <v>0</v>
      </c>
      <c r="K434" s="21">
        <f>'Copy of All Sales'!$G434-'Copy of All Sales'!$I434</f>
        <v>-12752.21</v>
      </c>
    </row>
    <row r="435" spans="1:11" x14ac:dyDescent="0.25">
      <c r="A435" s="22">
        <v>44409</v>
      </c>
      <c r="B435" s="23"/>
      <c r="C435" s="23"/>
      <c r="D435" s="23" t="s">
        <v>137</v>
      </c>
      <c r="E435" s="23" t="str">
        <v/>
      </c>
      <c r="F435" s="23" t="s">
        <v>22</v>
      </c>
      <c r="G435" s="24">
        <v>432.28000000000003</v>
      </c>
      <c r="H435" s="23" t="s">
        <v>43</v>
      </c>
      <c r="I435" s="24">
        <v>15000</v>
      </c>
      <c r="J435" s="24">
        <f t="shared" si="6"/>
        <v>0</v>
      </c>
      <c r="K435" s="25">
        <f>'Copy of All Sales'!$G435-'Copy of All Sales'!$I435</f>
        <v>-14567.72</v>
      </c>
    </row>
    <row r="436" spans="1:11" x14ac:dyDescent="0.25">
      <c r="A436" s="18">
        <v>44409</v>
      </c>
      <c r="B436" s="19"/>
      <c r="C436" s="19"/>
      <c r="D436" s="19" t="s">
        <v>137</v>
      </c>
      <c r="E436" s="19" t="str">
        <v/>
      </c>
      <c r="F436" s="19" t="s">
        <v>22</v>
      </c>
      <c r="G436" s="20">
        <v>4338.8100000000004</v>
      </c>
      <c r="H436" s="19" t="s">
        <v>15</v>
      </c>
      <c r="I436" s="20">
        <v>15000</v>
      </c>
      <c r="J436" s="20">
        <f t="shared" si="6"/>
        <v>0</v>
      </c>
      <c r="K436" s="21">
        <f>'Copy of All Sales'!$G436-'Copy of All Sales'!$I436</f>
        <v>-10661.189999999999</v>
      </c>
    </row>
    <row r="437" spans="1:11" x14ac:dyDescent="0.25">
      <c r="A437" s="22">
        <v>44409</v>
      </c>
      <c r="B437" s="23"/>
      <c r="C437" s="23"/>
      <c r="D437" s="23" t="s">
        <v>137</v>
      </c>
      <c r="E437" s="23" t="str">
        <v/>
      </c>
      <c r="F437" s="23" t="s">
        <v>22</v>
      </c>
      <c r="G437" s="24">
        <v>1567.02</v>
      </c>
      <c r="H437" s="23" t="s">
        <v>43</v>
      </c>
      <c r="I437" s="24">
        <v>15000</v>
      </c>
      <c r="J437" s="24">
        <f t="shared" si="6"/>
        <v>0</v>
      </c>
      <c r="K437" s="25">
        <f>'Copy of All Sales'!$G437-'Copy of All Sales'!$I437</f>
        <v>-13432.98</v>
      </c>
    </row>
    <row r="438" spans="1:11" x14ac:dyDescent="0.25">
      <c r="A438" s="18">
        <v>44409</v>
      </c>
      <c r="B438" s="19"/>
      <c r="C438" s="19"/>
      <c r="D438" s="19" t="s">
        <v>137</v>
      </c>
      <c r="E438" s="19" t="str">
        <v/>
      </c>
      <c r="F438" s="19" t="s">
        <v>22</v>
      </c>
      <c r="G438" s="20">
        <v>1039.1699999999998</v>
      </c>
      <c r="H438" s="19" t="s">
        <v>43</v>
      </c>
      <c r="I438" s="20">
        <v>15000</v>
      </c>
      <c r="J438" s="20">
        <f t="shared" si="6"/>
        <v>0</v>
      </c>
      <c r="K438" s="21">
        <f>'Copy of All Sales'!$G438-'Copy of All Sales'!$I438</f>
        <v>-13960.83</v>
      </c>
    </row>
    <row r="439" spans="1:11" x14ac:dyDescent="0.25">
      <c r="A439" s="22">
        <v>44409</v>
      </c>
      <c r="B439" s="23" t="s">
        <v>45</v>
      </c>
      <c r="C439" s="23" t="s">
        <v>46</v>
      </c>
      <c r="D439" s="23" t="s">
        <v>44</v>
      </c>
      <c r="E439" s="23" t="str">
        <v>Ally Bryant</v>
      </c>
      <c r="F439" s="23" t="s">
        <v>22</v>
      </c>
      <c r="G439" s="24">
        <v>3760.5</v>
      </c>
      <c r="H439" s="23" t="s">
        <v>11</v>
      </c>
      <c r="I439" s="24">
        <v>15000</v>
      </c>
      <c r="J439" s="24">
        <f t="shared" si="6"/>
        <v>0</v>
      </c>
      <c r="K439" s="25">
        <f>'Copy of All Sales'!$G439-'Copy of All Sales'!$I439</f>
        <v>-11239.5</v>
      </c>
    </row>
    <row r="440" spans="1:11" x14ac:dyDescent="0.25">
      <c r="A440" s="18">
        <v>44409</v>
      </c>
      <c r="B440" s="19" t="s">
        <v>45</v>
      </c>
      <c r="C440" s="19" t="s">
        <v>46</v>
      </c>
      <c r="D440" s="19" t="s">
        <v>44</v>
      </c>
      <c r="E440" s="19" t="str">
        <v>Ally Bryant</v>
      </c>
      <c r="F440" s="19" t="s">
        <v>22</v>
      </c>
      <c r="G440" s="20">
        <v>4322.8</v>
      </c>
      <c r="H440" s="19" t="s">
        <v>43</v>
      </c>
      <c r="I440" s="20">
        <v>15000</v>
      </c>
      <c r="J440" s="20">
        <f t="shared" si="6"/>
        <v>0</v>
      </c>
      <c r="K440" s="21">
        <f>'Copy of All Sales'!$G440-'Copy of All Sales'!$I440</f>
        <v>-10677.2</v>
      </c>
    </row>
    <row r="441" spans="1:11" x14ac:dyDescent="0.25">
      <c r="A441" s="22">
        <v>44409</v>
      </c>
      <c r="B441" s="23" t="s">
        <v>45</v>
      </c>
      <c r="C441" s="23" t="s">
        <v>46</v>
      </c>
      <c r="D441" s="23" t="s">
        <v>44</v>
      </c>
      <c r="E441" s="23" t="str">
        <v>Ally Bryant</v>
      </c>
      <c r="F441" s="23" t="s">
        <v>22</v>
      </c>
      <c r="G441" s="24">
        <v>9697.6</v>
      </c>
      <c r="H441" s="23" t="s">
        <v>15</v>
      </c>
      <c r="I441" s="24">
        <v>15000</v>
      </c>
      <c r="J441" s="24">
        <f t="shared" si="6"/>
        <v>0</v>
      </c>
      <c r="K441" s="25">
        <f>'Copy of All Sales'!$G441-'Copy of All Sales'!$I441</f>
        <v>-5302.4</v>
      </c>
    </row>
    <row r="442" spans="1:11" x14ac:dyDescent="0.25">
      <c r="A442" s="18">
        <v>44409</v>
      </c>
      <c r="B442" s="19" t="s">
        <v>45</v>
      </c>
      <c r="C442" s="19" t="s">
        <v>46</v>
      </c>
      <c r="D442" s="19" t="s">
        <v>44</v>
      </c>
      <c r="E442" s="19" t="str">
        <v>Ally Bryant</v>
      </c>
      <c r="F442" s="19" t="s">
        <v>22</v>
      </c>
      <c r="G442" s="20">
        <v>10391.699999999999</v>
      </c>
      <c r="H442" s="19" t="s">
        <v>43</v>
      </c>
      <c r="I442" s="20">
        <v>15000</v>
      </c>
      <c r="J442" s="20">
        <f t="shared" si="6"/>
        <v>0</v>
      </c>
      <c r="K442" s="21">
        <f>'Copy of All Sales'!$G442-'Copy of All Sales'!$I442</f>
        <v>-4608.3000000000011</v>
      </c>
    </row>
    <row r="443" spans="1:11" x14ac:dyDescent="0.25">
      <c r="A443" s="22">
        <v>44409</v>
      </c>
      <c r="B443" s="23" t="s">
        <v>66</v>
      </c>
      <c r="C443" s="23" t="s">
        <v>67</v>
      </c>
      <c r="D443" s="23" t="s">
        <v>65</v>
      </c>
      <c r="E443" s="23" t="str">
        <v>Spencer Cruz</v>
      </c>
      <c r="F443" s="23" t="s">
        <v>22</v>
      </c>
      <c r="G443" s="24">
        <v>15670.2</v>
      </c>
      <c r="H443" s="23" t="s">
        <v>43</v>
      </c>
      <c r="I443" s="24">
        <v>15000</v>
      </c>
      <c r="J443" s="24">
        <f t="shared" si="6"/>
        <v>1567.0200000000002</v>
      </c>
      <c r="K443" s="25">
        <f>'Copy of All Sales'!$G443-'Copy of All Sales'!$I443</f>
        <v>670.20000000000073</v>
      </c>
    </row>
    <row r="444" spans="1:11" x14ac:dyDescent="0.25">
      <c r="A444" s="18">
        <v>44409</v>
      </c>
      <c r="B444" s="19" t="s">
        <v>54</v>
      </c>
      <c r="C444" s="19" t="s">
        <v>55</v>
      </c>
      <c r="D444" s="19" t="s">
        <v>53</v>
      </c>
      <c r="E444" s="19" t="str">
        <v>Josh Sutherland</v>
      </c>
      <c r="F444" s="19" t="s">
        <v>22</v>
      </c>
      <c r="G444" s="20">
        <v>22477.9</v>
      </c>
      <c r="H444" s="19" t="s">
        <v>15</v>
      </c>
      <c r="I444" s="20">
        <v>15000</v>
      </c>
      <c r="J444" s="20">
        <f t="shared" si="6"/>
        <v>2247.7900000000004</v>
      </c>
      <c r="K444" s="21">
        <f>'Copy of All Sales'!$G444-'Copy of All Sales'!$I444</f>
        <v>7477.9000000000015</v>
      </c>
    </row>
    <row r="445" spans="1:11" x14ac:dyDescent="0.25">
      <c r="A445" s="22">
        <v>44409</v>
      </c>
      <c r="B445" s="23" t="s">
        <v>54</v>
      </c>
      <c r="C445" s="23" t="s">
        <v>55</v>
      </c>
      <c r="D445" s="23" t="s">
        <v>53</v>
      </c>
      <c r="E445" s="23" t="str">
        <v>Josh Sutherland</v>
      </c>
      <c r="F445" s="23" t="s">
        <v>22</v>
      </c>
      <c r="G445" s="24">
        <v>36088.1</v>
      </c>
      <c r="H445" s="23" t="s">
        <v>43</v>
      </c>
      <c r="I445" s="24">
        <v>15000</v>
      </c>
      <c r="J445" s="24">
        <f t="shared" si="6"/>
        <v>3608.81</v>
      </c>
      <c r="K445" s="25">
        <f>'Copy of All Sales'!$G445-'Copy of All Sales'!$I445</f>
        <v>21088.1</v>
      </c>
    </row>
    <row r="446" spans="1:11" x14ac:dyDescent="0.25">
      <c r="A446" s="18">
        <v>44409</v>
      </c>
      <c r="B446" s="19" t="s">
        <v>20</v>
      </c>
      <c r="C446" s="19" t="s">
        <v>21</v>
      </c>
      <c r="D446" s="19" t="s">
        <v>19</v>
      </c>
      <c r="E446" s="19" t="str">
        <v>Nina McDonald</v>
      </c>
      <c r="F446" s="19" t="s">
        <v>22</v>
      </c>
      <c r="G446" s="20">
        <v>43388.100000000006</v>
      </c>
      <c r="H446" s="19" t="s">
        <v>15</v>
      </c>
      <c r="I446" s="20">
        <v>15000</v>
      </c>
      <c r="J446" s="20">
        <f t="shared" si="6"/>
        <v>4338.8100000000004</v>
      </c>
      <c r="K446" s="21">
        <f>'Copy of All Sales'!$G446-'Copy of All Sales'!$I446</f>
        <v>28388.100000000006</v>
      </c>
    </row>
    <row r="447" spans="1:11" x14ac:dyDescent="0.25">
      <c r="A447" s="22">
        <v>44440</v>
      </c>
      <c r="B447" s="23"/>
      <c r="C447" s="23"/>
      <c r="D447" s="23" t="s">
        <v>137</v>
      </c>
      <c r="E447" s="23" t="str">
        <v/>
      </c>
      <c r="F447" s="23" t="s">
        <v>22</v>
      </c>
      <c r="G447" s="24">
        <v>771.4</v>
      </c>
      <c r="H447" s="23" t="s">
        <v>11</v>
      </c>
      <c r="I447" s="24">
        <v>15000</v>
      </c>
      <c r="J447" s="24">
        <f t="shared" si="6"/>
        <v>0</v>
      </c>
      <c r="K447" s="25">
        <f>'Copy of All Sales'!$G447-'Copy of All Sales'!$I447</f>
        <v>-14228.6</v>
      </c>
    </row>
    <row r="448" spans="1:11" x14ac:dyDescent="0.25">
      <c r="A448" s="18">
        <v>44440</v>
      </c>
      <c r="B448" s="19"/>
      <c r="C448" s="19"/>
      <c r="D448" s="19" t="s">
        <v>137</v>
      </c>
      <c r="E448" s="19" t="str">
        <v/>
      </c>
      <c r="F448" s="19" t="s">
        <v>22</v>
      </c>
      <c r="G448" s="20">
        <v>1636.39</v>
      </c>
      <c r="H448" s="19" t="s">
        <v>11</v>
      </c>
      <c r="I448" s="20">
        <v>15000</v>
      </c>
      <c r="J448" s="20">
        <f t="shared" si="6"/>
        <v>0</v>
      </c>
      <c r="K448" s="21">
        <f>'Copy of All Sales'!$G448-'Copy of All Sales'!$I448</f>
        <v>-13363.61</v>
      </c>
    </row>
    <row r="449" spans="1:11" x14ac:dyDescent="0.25">
      <c r="A449" s="22">
        <v>44440</v>
      </c>
      <c r="B449" s="23"/>
      <c r="C449" s="23"/>
      <c r="D449" s="23" t="s">
        <v>137</v>
      </c>
      <c r="E449" s="23" t="str">
        <v/>
      </c>
      <c r="F449" s="23" t="s">
        <v>22</v>
      </c>
      <c r="G449" s="24">
        <v>1515.2399999999998</v>
      </c>
      <c r="H449" s="23" t="s">
        <v>43</v>
      </c>
      <c r="I449" s="24">
        <v>15000</v>
      </c>
      <c r="J449" s="24">
        <f t="shared" si="6"/>
        <v>0</v>
      </c>
      <c r="K449" s="25">
        <f>'Copy of All Sales'!$G449-'Copy of All Sales'!$I449</f>
        <v>-13484.76</v>
      </c>
    </row>
    <row r="450" spans="1:11" x14ac:dyDescent="0.25">
      <c r="A450" s="18">
        <v>44440</v>
      </c>
      <c r="B450" s="19" t="s">
        <v>38</v>
      </c>
      <c r="C450" s="19" t="s">
        <v>39</v>
      </c>
      <c r="D450" s="19" t="s">
        <v>37</v>
      </c>
      <c r="E450" s="19" t="str">
        <v>Tia Cruise</v>
      </c>
      <c r="F450" s="19" t="s">
        <v>22</v>
      </c>
      <c r="G450" s="20">
        <v>7714</v>
      </c>
      <c r="H450" s="19" t="s">
        <v>11</v>
      </c>
      <c r="I450" s="20">
        <v>15000</v>
      </c>
      <c r="J450" s="20">
        <f t="shared" ref="J450:J488" si="7">IF(G450&gt;=I450,G450*$M$2,0)</f>
        <v>0</v>
      </c>
      <c r="K450" s="21">
        <f>'Copy of All Sales'!$G450-'Copy of All Sales'!$I450</f>
        <v>-7286</v>
      </c>
    </row>
    <row r="451" spans="1:11" x14ac:dyDescent="0.25">
      <c r="A451" s="22">
        <v>44440</v>
      </c>
      <c r="B451" s="23" t="s">
        <v>20</v>
      </c>
      <c r="C451" s="23" t="s">
        <v>21</v>
      </c>
      <c r="D451" s="23" t="s">
        <v>19</v>
      </c>
      <c r="E451" s="23" t="str">
        <v>Nina McDonald</v>
      </c>
      <c r="F451" s="23" t="s">
        <v>22</v>
      </c>
      <c r="G451" s="24">
        <v>15152.399999999998</v>
      </c>
      <c r="H451" s="23" t="s">
        <v>43</v>
      </c>
      <c r="I451" s="24">
        <v>15000</v>
      </c>
      <c r="J451" s="24">
        <f t="shared" si="7"/>
        <v>1515.2399999999998</v>
      </c>
      <c r="K451" s="25">
        <f>'Copy of All Sales'!$G451-'Copy of All Sales'!$I451</f>
        <v>152.39999999999782</v>
      </c>
    </row>
    <row r="452" spans="1:11" x14ac:dyDescent="0.25">
      <c r="A452" s="18">
        <v>44440</v>
      </c>
      <c r="B452" s="19" t="s">
        <v>45</v>
      </c>
      <c r="C452" s="19" t="s">
        <v>46</v>
      </c>
      <c r="D452" s="19" t="s">
        <v>44</v>
      </c>
      <c r="E452" s="19" t="str">
        <v>Ally Bryant</v>
      </c>
      <c r="F452" s="19" t="s">
        <v>22</v>
      </c>
      <c r="G452" s="20">
        <v>16363.900000000001</v>
      </c>
      <c r="H452" s="19" t="s">
        <v>11</v>
      </c>
      <c r="I452" s="20">
        <v>15000</v>
      </c>
      <c r="J452" s="20">
        <f t="shared" si="7"/>
        <v>1636.3900000000003</v>
      </c>
      <c r="K452" s="21">
        <f>'Copy of All Sales'!$G452-'Copy of All Sales'!$I452</f>
        <v>1363.9000000000015</v>
      </c>
    </row>
    <row r="453" spans="1:11" x14ac:dyDescent="0.25">
      <c r="A453" s="22">
        <v>44470</v>
      </c>
      <c r="B453" s="23"/>
      <c r="C453" s="23"/>
      <c r="D453" s="23" t="s">
        <v>137</v>
      </c>
      <c r="E453" s="23" t="str">
        <v/>
      </c>
      <c r="F453" s="23" t="s">
        <v>22</v>
      </c>
      <c r="G453" s="24">
        <v>4142.07</v>
      </c>
      <c r="H453" s="23" t="s">
        <v>11</v>
      </c>
      <c r="I453" s="24">
        <v>15000</v>
      </c>
      <c r="J453" s="24">
        <f t="shared" si="7"/>
        <v>0</v>
      </c>
      <c r="K453" s="25">
        <f>'Copy of All Sales'!$G453-'Copy of All Sales'!$I453</f>
        <v>-10857.93</v>
      </c>
    </row>
    <row r="454" spans="1:11" x14ac:dyDescent="0.25">
      <c r="A454" s="18">
        <v>44470</v>
      </c>
      <c r="B454" s="19"/>
      <c r="C454" s="19"/>
      <c r="D454" s="19" t="s">
        <v>137</v>
      </c>
      <c r="E454" s="19" t="str">
        <v/>
      </c>
      <c r="F454" s="19" t="s">
        <v>22</v>
      </c>
      <c r="G454" s="20">
        <v>1069.47</v>
      </c>
      <c r="H454" s="19" t="s">
        <v>43</v>
      </c>
      <c r="I454" s="20">
        <v>15000</v>
      </c>
      <c r="J454" s="20">
        <f t="shared" si="7"/>
        <v>0</v>
      </c>
      <c r="K454" s="21">
        <f>'Copy of All Sales'!$G454-'Copy of All Sales'!$I454</f>
        <v>-13930.53</v>
      </c>
    </row>
    <row r="455" spans="1:11" x14ac:dyDescent="0.25">
      <c r="A455" s="22">
        <v>44470</v>
      </c>
      <c r="B455" s="23"/>
      <c r="C455" s="23"/>
      <c r="D455" s="23" t="s">
        <v>137</v>
      </c>
      <c r="E455" s="23" t="str">
        <v/>
      </c>
      <c r="F455" s="23" t="s">
        <v>22</v>
      </c>
      <c r="G455" s="24">
        <v>1059.52</v>
      </c>
      <c r="H455" s="23" t="s">
        <v>43</v>
      </c>
      <c r="I455" s="24">
        <v>15000</v>
      </c>
      <c r="J455" s="24">
        <f t="shared" si="7"/>
        <v>0</v>
      </c>
      <c r="K455" s="25">
        <f>'Copy of All Sales'!$G455-'Copy of All Sales'!$I455</f>
        <v>-13940.48</v>
      </c>
    </row>
    <row r="456" spans="1:11" x14ac:dyDescent="0.25">
      <c r="A456" s="18">
        <v>44470</v>
      </c>
      <c r="B456" s="19"/>
      <c r="C456" s="19"/>
      <c r="D456" s="19" t="s">
        <v>137</v>
      </c>
      <c r="E456" s="19" t="str">
        <v/>
      </c>
      <c r="F456" s="19" t="s">
        <v>22</v>
      </c>
      <c r="G456" s="20">
        <v>1423.54</v>
      </c>
      <c r="H456" s="19" t="s">
        <v>43</v>
      </c>
      <c r="I456" s="20">
        <v>15000</v>
      </c>
      <c r="J456" s="20">
        <f t="shared" si="7"/>
        <v>0</v>
      </c>
      <c r="K456" s="21">
        <f>'Copy of All Sales'!$G456-'Copy of All Sales'!$I456</f>
        <v>-13576.46</v>
      </c>
    </row>
    <row r="457" spans="1:11" x14ac:dyDescent="0.25">
      <c r="A457" s="22">
        <v>44470</v>
      </c>
      <c r="B457" s="23"/>
      <c r="C457" s="23"/>
      <c r="D457" s="23" t="s">
        <v>137</v>
      </c>
      <c r="E457" s="23" t="str">
        <v/>
      </c>
      <c r="F457" s="23" t="s">
        <v>22</v>
      </c>
      <c r="G457" s="24">
        <v>3653.02</v>
      </c>
      <c r="H457" s="23" t="s">
        <v>15</v>
      </c>
      <c r="I457" s="24">
        <v>15000</v>
      </c>
      <c r="J457" s="24">
        <f t="shared" si="7"/>
        <v>0</v>
      </c>
      <c r="K457" s="25">
        <f>'Copy of All Sales'!$G457-'Copy of All Sales'!$I457</f>
        <v>-11346.98</v>
      </c>
    </row>
    <row r="458" spans="1:11" x14ac:dyDescent="0.25">
      <c r="A458" s="18">
        <v>44470</v>
      </c>
      <c r="B458" s="19"/>
      <c r="C458" s="19"/>
      <c r="D458" s="19" t="s">
        <v>137</v>
      </c>
      <c r="E458" s="19" t="str">
        <v/>
      </c>
      <c r="F458" s="19" t="s">
        <v>22</v>
      </c>
      <c r="G458" s="20">
        <v>719.59999999999991</v>
      </c>
      <c r="H458" s="19" t="s">
        <v>15</v>
      </c>
      <c r="I458" s="20">
        <v>15000</v>
      </c>
      <c r="J458" s="20">
        <f t="shared" si="7"/>
        <v>0</v>
      </c>
      <c r="K458" s="21">
        <f>'Copy of All Sales'!$G458-'Copy of All Sales'!$I458</f>
        <v>-14280.4</v>
      </c>
    </row>
    <row r="459" spans="1:11" x14ac:dyDescent="0.25">
      <c r="A459" s="22">
        <v>44470</v>
      </c>
      <c r="B459" s="23"/>
      <c r="C459" s="23"/>
      <c r="D459" s="23" t="s">
        <v>137</v>
      </c>
      <c r="E459" s="23" t="str">
        <v/>
      </c>
      <c r="F459" s="23" t="s">
        <v>22</v>
      </c>
      <c r="G459" s="24">
        <v>299.71999999999997</v>
      </c>
      <c r="H459" s="23" t="s">
        <v>11</v>
      </c>
      <c r="I459" s="24">
        <v>15000</v>
      </c>
      <c r="J459" s="24">
        <f t="shared" si="7"/>
        <v>0</v>
      </c>
      <c r="K459" s="25">
        <f>'Copy of All Sales'!$G459-'Copy of All Sales'!$I459</f>
        <v>-14700.28</v>
      </c>
    </row>
    <row r="460" spans="1:11" x14ac:dyDescent="0.25">
      <c r="A460" s="18">
        <v>44470</v>
      </c>
      <c r="B460" s="19"/>
      <c r="C460" s="19"/>
      <c r="D460" s="19" t="s">
        <v>137</v>
      </c>
      <c r="E460" s="19" t="str">
        <v/>
      </c>
      <c r="F460" s="19" t="s">
        <v>22</v>
      </c>
      <c r="G460" s="20">
        <v>3689.62</v>
      </c>
      <c r="H460" s="19" t="s">
        <v>43</v>
      </c>
      <c r="I460" s="20">
        <v>15000</v>
      </c>
      <c r="J460" s="20">
        <f t="shared" si="7"/>
        <v>0</v>
      </c>
      <c r="K460" s="21">
        <f>'Copy of All Sales'!$G460-'Copy of All Sales'!$I460</f>
        <v>-11310.380000000001</v>
      </c>
    </row>
    <row r="461" spans="1:11" x14ac:dyDescent="0.25">
      <c r="A461" s="22">
        <v>44470</v>
      </c>
      <c r="B461" s="23" t="s">
        <v>20</v>
      </c>
      <c r="C461" s="23" t="s">
        <v>21</v>
      </c>
      <c r="D461" s="23" t="s">
        <v>19</v>
      </c>
      <c r="E461" s="23" t="str">
        <v>Nina McDonald</v>
      </c>
      <c r="F461" s="23" t="s">
        <v>22</v>
      </c>
      <c r="G461" s="24">
        <v>2997.2</v>
      </c>
      <c r="H461" s="23" t="s">
        <v>11</v>
      </c>
      <c r="I461" s="24">
        <v>15000</v>
      </c>
      <c r="J461" s="24">
        <f t="shared" si="7"/>
        <v>0</v>
      </c>
      <c r="K461" s="25">
        <f>'Copy of All Sales'!$G461-'Copy of All Sales'!$I461</f>
        <v>-12002.8</v>
      </c>
    </row>
    <row r="462" spans="1:11" x14ac:dyDescent="0.25">
      <c r="A462" s="18">
        <v>44470</v>
      </c>
      <c r="B462" s="19" t="s">
        <v>38</v>
      </c>
      <c r="C462" s="19" t="s">
        <v>39</v>
      </c>
      <c r="D462" s="19" t="s">
        <v>37</v>
      </c>
      <c r="E462" s="19" t="str">
        <v>Tia Cruise</v>
      </c>
      <c r="F462" s="19" t="s">
        <v>22</v>
      </c>
      <c r="G462" s="20">
        <v>7195.9999999999991</v>
      </c>
      <c r="H462" s="19" t="s">
        <v>15</v>
      </c>
      <c r="I462" s="20">
        <v>15000</v>
      </c>
      <c r="J462" s="20">
        <f t="shared" si="7"/>
        <v>0</v>
      </c>
      <c r="K462" s="21">
        <f>'Copy of All Sales'!$G462-'Copy of All Sales'!$I462</f>
        <v>-7804.0000000000009</v>
      </c>
    </row>
    <row r="463" spans="1:11" x14ac:dyDescent="0.25">
      <c r="A463" s="22">
        <v>44470</v>
      </c>
      <c r="B463" s="23" t="s">
        <v>54</v>
      </c>
      <c r="C463" s="23" t="s">
        <v>55</v>
      </c>
      <c r="D463" s="23" t="s">
        <v>53</v>
      </c>
      <c r="E463" s="23" t="str">
        <v>Josh Sutherland</v>
      </c>
      <c r="F463" s="23" t="s">
        <v>22</v>
      </c>
      <c r="G463" s="24">
        <v>10595.2</v>
      </c>
      <c r="H463" s="23" t="s">
        <v>43</v>
      </c>
      <c r="I463" s="24">
        <v>15000</v>
      </c>
      <c r="J463" s="24">
        <f t="shared" si="7"/>
        <v>0</v>
      </c>
      <c r="K463" s="25">
        <f>'Copy of All Sales'!$G463-'Copy of All Sales'!$I463</f>
        <v>-4404.7999999999993</v>
      </c>
    </row>
    <row r="464" spans="1:11" x14ac:dyDescent="0.25">
      <c r="A464" s="18">
        <v>44470</v>
      </c>
      <c r="B464" s="19" t="s">
        <v>38</v>
      </c>
      <c r="C464" s="19" t="s">
        <v>39</v>
      </c>
      <c r="D464" s="19" t="s">
        <v>37</v>
      </c>
      <c r="E464" s="19" t="str">
        <v>Tia Cruise</v>
      </c>
      <c r="F464" s="19" t="s">
        <v>22</v>
      </c>
      <c r="G464" s="20">
        <v>10694.7</v>
      </c>
      <c r="H464" s="19" t="s">
        <v>43</v>
      </c>
      <c r="I464" s="20">
        <v>15000</v>
      </c>
      <c r="J464" s="20">
        <f t="shared" si="7"/>
        <v>0</v>
      </c>
      <c r="K464" s="21">
        <f>'Copy of All Sales'!$G464-'Copy of All Sales'!$I464</f>
        <v>-4305.2999999999993</v>
      </c>
    </row>
    <row r="465" spans="1:11" x14ac:dyDescent="0.25">
      <c r="A465" s="22">
        <v>44470</v>
      </c>
      <c r="B465" s="23" t="s">
        <v>54</v>
      </c>
      <c r="C465" s="23" t="s">
        <v>55</v>
      </c>
      <c r="D465" s="23" t="s">
        <v>53</v>
      </c>
      <c r="E465" s="23" t="str">
        <v>Josh Sutherland</v>
      </c>
      <c r="F465" s="23" t="s">
        <v>22</v>
      </c>
      <c r="G465" s="24">
        <v>14235.4</v>
      </c>
      <c r="H465" s="23" t="s">
        <v>43</v>
      </c>
      <c r="I465" s="24">
        <v>15000</v>
      </c>
      <c r="J465" s="24">
        <f t="shared" si="7"/>
        <v>0</v>
      </c>
      <c r="K465" s="25">
        <f>'Copy of All Sales'!$G465-'Copy of All Sales'!$I465</f>
        <v>-764.60000000000036</v>
      </c>
    </row>
    <row r="466" spans="1:11" x14ac:dyDescent="0.25">
      <c r="A466" s="18">
        <v>44470</v>
      </c>
      <c r="B466" s="19" t="s">
        <v>54</v>
      </c>
      <c r="C466" s="19" t="s">
        <v>55</v>
      </c>
      <c r="D466" s="19" t="s">
        <v>53</v>
      </c>
      <c r="E466" s="19" t="str">
        <v>Josh Sutherland</v>
      </c>
      <c r="F466" s="19" t="s">
        <v>22</v>
      </c>
      <c r="G466" s="20">
        <v>36530.199999999997</v>
      </c>
      <c r="H466" s="19" t="s">
        <v>15</v>
      </c>
      <c r="I466" s="20">
        <v>15000</v>
      </c>
      <c r="J466" s="20">
        <f t="shared" si="7"/>
        <v>3653.02</v>
      </c>
      <c r="K466" s="21">
        <f>'Copy of All Sales'!$G466-'Copy of All Sales'!$I466</f>
        <v>21530.199999999997</v>
      </c>
    </row>
    <row r="467" spans="1:11" x14ac:dyDescent="0.25">
      <c r="A467" s="22">
        <v>44470</v>
      </c>
      <c r="B467" s="23" t="s">
        <v>66</v>
      </c>
      <c r="C467" s="23" t="s">
        <v>67</v>
      </c>
      <c r="D467" s="23" t="s">
        <v>65</v>
      </c>
      <c r="E467" s="23" t="str">
        <v>Spencer Cruz</v>
      </c>
      <c r="F467" s="23" t="s">
        <v>22</v>
      </c>
      <c r="G467" s="24">
        <v>36896.199999999997</v>
      </c>
      <c r="H467" s="23" t="s">
        <v>43</v>
      </c>
      <c r="I467" s="24">
        <v>15000</v>
      </c>
      <c r="J467" s="24">
        <f t="shared" si="7"/>
        <v>3689.62</v>
      </c>
      <c r="K467" s="25">
        <f>'Copy of All Sales'!$G467-'Copy of All Sales'!$I467</f>
        <v>21896.199999999997</v>
      </c>
    </row>
    <row r="468" spans="1:11" x14ac:dyDescent="0.25">
      <c r="A468" s="18">
        <v>44470</v>
      </c>
      <c r="B468" s="19" t="s">
        <v>20</v>
      </c>
      <c r="C468" s="19" t="s">
        <v>21</v>
      </c>
      <c r="D468" s="19" t="s">
        <v>19</v>
      </c>
      <c r="E468" s="19" t="str">
        <v>Nina McDonald</v>
      </c>
      <c r="F468" s="19" t="s">
        <v>22</v>
      </c>
      <c r="G468" s="20">
        <v>41420.699999999997</v>
      </c>
      <c r="H468" s="19" t="s">
        <v>11</v>
      </c>
      <c r="I468" s="20">
        <v>15000</v>
      </c>
      <c r="J468" s="20">
        <f t="shared" si="7"/>
        <v>4142.07</v>
      </c>
      <c r="K468" s="21">
        <f>'Copy of All Sales'!$G468-'Copy of All Sales'!$I468</f>
        <v>26420.699999999997</v>
      </c>
    </row>
    <row r="469" spans="1:11" x14ac:dyDescent="0.25">
      <c r="A469" s="22">
        <v>44501</v>
      </c>
      <c r="B469" s="23"/>
      <c r="C469" s="23"/>
      <c r="D469" s="23" t="s">
        <v>137</v>
      </c>
      <c r="E469" s="23" t="str">
        <v/>
      </c>
      <c r="F469" s="23" t="s">
        <v>22</v>
      </c>
      <c r="G469" s="24">
        <v>1680.64</v>
      </c>
      <c r="H469" s="23" t="s">
        <v>11</v>
      </c>
      <c r="I469" s="24">
        <v>15000</v>
      </c>
      <c r="J469" s="24">
        <f t="shared" si="7"/>
        <v>0</v>
      </c>
      <c r="K469" s="25">
        <f>'Copy of All Sales'!$G469-'Copy of All Sales'!$I469</f>
        <v>-13319.36</v>
      </c>
    </row>
    <row r="470" spans="1:11" x14ac:dyDescent="0.25">
      <c r="A470" s="18">
        <v>44501</v>
      </c>
      <c r="B470" s="19"/>
      <c r="C470" s="19"/>
      <c r="D470" s="19" t="s">
        <v>137</v>
      </c>
      <c r="E470" s="19" t="str">
        <v/>
      </c>
      <c r="F470" s="19" t="s">
        <v>22</v>
      </c>
      <c r="G470" s="20">
        <v>690</v>
      </c>
      <c r="H470" s="19" t="s">
        <v>15</v>
      </c>
      <c r="I470" s="20">
        <v>15000</v>
      </c>
      <c r="J470" s="20">
        <f t="shared" si="7"/>
        <v>0</v>
      </c>
      <c r="K470" s="21">
        <f>'Copy of All Sales'!$G470-'Copy of All Sales'!$I470</f>
        <v>-14310</v>
      </c>
    </row>
    <row r="471" spans="1:11" x14ac:dyDescent="0.25">
      <c r="A471" s="22">
        <v>44501</v>
      </c>
      <c r="B471" s="23"/>
      <c r="C471" s="23"/>
      <c r="D471" s="23" t="s">
        <v>137</v>
      </c>
      <c r="E471" s="23" t="str">
        <v/>
      </c>
      <c r="F471" s="23" t="s">
        <v>22</v>
      </c>
      <c r="G471" s="24">
        <v>1430.29</v>
      </c>
      <c r="H471" s="23" t="s">
        <v>11</v>
      </c>
      <c r="I471" s="24">
        <v>15000</v>
      </c>
      <c r="J471" s="24">
        <f t="shared" si="7"/>
        <v>0</v>
      </c>
      <c r="K471" s="25">
        <f>'Copy of All Sales'!$G471-'Copy of All Sales'!$I471</f>
        <v>-13569.71</v>
      </c>
    </row>
    <row r="472" spans="1:11" x14ac:dyDescent="0.25">
      <c r="A472" s="18">
        <v>44501</v>
      </c>
      <c r="B472" s="19"/>
      <c r="C472" s="19"/>
      <c r="D472" s="19" t="s">
        <v>137</v>
      </c>
      <c r="E472" s="19" t="str">
        <v/>
      </c>
      <c r="F472" s="19" t="s">
        <v>22</v>
      </c>
      <c r="G472" s="20">
        <v>2079.7200000000003</v>
      </c>
      <c r="H472" s="19" t="s">
        <v>15</v>
      </c>
      <c r="I472" s="20">
        <v>15000</v>
      </c>
      <c r="J472" s="20">
        <f t="shared" si="7"/>
        <v>0</v>
      </c>
      <c r="K472" s="21">
        <f>'Copy of All Sales'!$G472-'Copy of All Sales'!$I472</f>
        <v>-12920.279999999999</v>
      </c>
    </row>
    <row r="473" spans="1:11" x14ac:dyDescent="0.25">
      <c r="A473" s="22">
        <v>44501</v>
      </c>
      <c r="B473" s="23"/>
      <c r="C473" s="23"/>
      <c r="D473" s="23" t="s">
        <v>137</v>
      </c>
      <c r="E473" s="23" t="str">
        <v/>
      </c>
      <c r="F473" s="23" t="s">
        <v>22</v>
      </c>
      <c r="G473" s="24">
        <v>2686.6</v>
      </c>
      <c r="H473" s="23" t="s">
        <v>43</v>
      </c>
      <c r="I473" s="24">
        <v>15000</v>
      </c>
      <c r="J473" s="24">
        <f t="shared" si="7"/>
        <v>0</v>
      </c>
      <c r="K473" s="25">
        <f>'Copy of All Sales'!$G473-'Copy of All Sales'!$I473</f>
        <v>-12313.4</v>
      </c>
    </row>
    <row r="474" spans="1:11" x14ac:dyDescent="0.25">
      <c r="A474" s="18">
        <v>44501</v>
      </c>
      <c r="B474" s="19"/>
      <c r="C474" s="19"/>
      <c r="D474" s="19" t="s">
        <v>137</v>
      </c>
      <c r="E474" s="19" t="str">
        <v/>
      </c>
      <c r="F474" s="19" t="s">
        <v>22</v>
      </c>
      <c r="G474" s="20">
        <v>968.3</v>
      </c>
      <c r="H474" s="19" t="s">
        <v>43</v>
      </c>
      <c r="I474" s="20">
        <v>15000</v>
      </c>
      <c r="J474" s="20">
        <f t="shared" si="7"/>
        <v>0</v>
      </c>
      <c r="K474" s="21">
        <f>'Copy of All Sales'!$G474-'Copy of All Sales'!$I474</f>
        <v>-14031.7</v>
      </c>
    </row>
    <row r="475" spans="1:11" x14ac:dyDescent="0.25">
      <c r="A475" s="22">
        <v>44501</v>
      </c>
      <c r="B475" s="23" t="s">
        <v>54</v>
      </c>
      <c r="C475" s="23" t="s">
        <v>55</v>
      </c>
      <c r="D475" s="23" t="s">
        <v>53</v>
      </c>
      <c r="E475" s="23" t="str">
        <v>Josh Sutherland</v>
      </c>
      <c r="F475" s="23" t="s">
        <v>22</v>
      </c>
      <c r="G475" s="24">
        <v>6900</v>
      </c>
      <c r="H475" s="23" t="s">
        <v>15</v>
      </c>
      <c r="I475" s="24">
        <v>15000</v>
      </c>
      <c r="J475" s="24">
        <f t="shared" si="7"/>
        <v>0</v>
      </c>
      <c r="K475" s="25">
        <f>'Copy of All Sales'!$G475-'Copy of All Sales'!$I475</f>
        <v>-8100</v>
      </c>
    </row>
    <row r="476" spans="1:11" x14ac:dyDescent="0.25">
      <c r="A476" s="18">
        <v>44501</v>
      </c>
      <c r="B476" s="19" t="s">
        <v>66</v>
      </c>
      <c r="C476" s="19" t="s">
        <v>67</v>
      </c>
      <c r="D476" s="19" t="s">
        <v>65</v>
      </c>
      <c r="E476" s="19" t="str">
        <v>Spencer Cruz</v>
      </c>
      <c r="F476" s="19" t="s">
        <v>22</v>
      </c>
      <c r="G476" s="20">
        <v>9683</v>
      </c>
      <c r="H476" s="19" t="s">
        <v>43</v>
      </c>
      <c r="I476" s="20">
        <v>15000</v>
      </c>
      <c r="J476" s="20">
        <f t="shared" si="7"/>
        <v>0</v>
      </c>
      <c r="K476" s="21">
        <f>'Copy of All Sales'!$G476-'Copy of All Sales'!$I476</f>
        <v>-5317</v>
      </c>
    </row>
    <row r="477" spans="1:11" x14ac:dyDescent="0.25">
      <c r="A477" s="22">
        <v>44501</v>
      </c>
      <c r="B477" s="23" t="s">
        <v>45</v>
      </c>
      <c r="C477" s="23" t="s">
        <v>46</v>
      </c>
      <c r="D477" s="23" t="s">
        <v>44</v>
      </c>
      <c r="E477" s="23" t="str">
        <v>Ally Bryant</v>
      </c>
      <c r="F477" s="23" t="s">
        <v>22</v>
      </c>
      <c r="G477" s="24">
        <v>14302.9</v>
      </c>
      <c r="H477" s="23" t="s">
        <v>11</v>
      </c>
      <c r="I477" s="24">
        <v>15000</v>
      </c>
      <c r="J477" s="24">
        <f t="shared" si="7"/>
        <v>0</v>
      </c>
      <c r="K477" s="25">
        <f>'Copy of All Sales'!$G477-'Copy of All Sales'!$I477</f>
        <v>-697.10000000000036</v>
      </c>
    </row>
    <row r="478" spans="1:11" x14ac:dyDescent="0.25">
      <c r="A478" s="18">
        <v>44501</v>
      </c>
      <c r="B478" s="19" t="s">
        <v>20</v>
      </c>
      <c r="C478" s="19" t="s">
        <v>21</v>
      </c>
      <c r="D478" s="19" t="s">
        <v>19</v>
      </c>
      <c r="E478" s="19" t="str">
        <v>Nina McDonald</v>
      </c>
      <c r="F478" s="19" t="s">
        <v>22</v>
      </c>
      <c r="G478" s="20">
        <v>16806.400000000001</v>
      </c>
      <c r="H478" s="19" t="s">
        <v>11</v>
      </c>
      <c r="I478" s="20">
        <v>15000</v>
      </c>
      <c r="J478" s="20">
        <f t="shared" si="7"/>
        <v>1680.6400000000003</v>
      </c>
      <c r="K478" s="21">
        <f>'Copy of All Sales'!$G478-'Copy of All Sales'!$I478</f>
        <v>1806.4000000000015</v>
      </c>
    </row>
    <row r="479" spans="1:11" x14ac:dyDescent="0.25">
      <c r="A479" s="22">
        <v>44501</v>
      </c>
      <c r="B479" s="23" t="s">
        <v>38</v>
      </c>
      <c r="C479" s="23" t="s">
        <v>39</v>
      </c>
      <c r="D479" s="23" t="s">
        <v>37</v>
      </c>
      <c r="E479" s="23" t="str">
        <v>Tia Cruise</v>
      </c>
      <c r="F479" s="23" t="s">
        <v>22</v>
      </c>
      <c r="G479" s="24">
        <v>20797.200000000004</v>
      </c>
      <c r="H479" s="23" t="s">
        <v>15</v>
      </c>
      <c r="I479" s="24">
        <v>15000</v>
      </c>
      <c r="J479" s="24">
        <f t="shared" si="7"/>
        <v>2079.7200000000007</v>
      </c>
      <c r="K479" s="25">
        <f>'Copy of All Sales'!$G479-'Copy of All Sales'!$I479</f>
        <v>5797.2000000000044</v>
      </c>
    </row>
    <row r="480" spans="1:11" x14ac:dyDescent="0.25">
      <c r="A480" s="18">
        <v>44501</v>
      </c>
      <c r="B480" s="19" t="s">
        <v>66</v>
      </c>
      <c r="C480" s="19" t="s">
        <v>67</v>
      </c>
      <c r="D480" s="19" t="s">
        <v>65</v>
      </c>
      <c r="E480" s="19" t="str">
        <v>Spencer Cruz</v>
      </c>
      <c r="F480" s="19" t="s">
        <v>22</v>
      </c>
      <c r="G480" s="20">
        <v>26866</v>
      </c>
      <c r="H480" s="19" t="s">
        <v>43</v>
      </c>
      <c r="I480" s="20">
        <v>15000</v>
      </c>
      <c r="J480" s="20">
        <f t="shared" si="7"/>
        <v>2686.6000000000004</v>
      </c>
      <c r="K480" s="21">
        <f>'Copy of All Sales'!$G480-'Copy of All Sales'!$I480</f>
        <v>11866</v>
      </c>
    </row>
    <row r="481" spans="1:11" x14ac:dyDescent="0.25">
      <c r="A481" s="22">
        <v>44531</v>
      </c>
      <c r="B481" s="23"/>
      <c r="C481" s="23"/>
      <c r="D481" s="23" t="s">
        <v>137</v>
      </c>
      <c r="E481" s="23" t="str">
        <v/>
      </c>
      <c r="F481" s="23" t="s">
        <v>22</v>
      </c>
      <c r="G481" s="24">
        <v>700.92000000000007</v>
      </c>
      <c r="H481" s="23" t="s">
        <v>15</v>
      </c>
      <c r="I481" s="24">
        <v>15000</v>
      </c>
      <c r="J481" s="24">
        <f t="shared" si="7"/>
        <v>0</v>
      </c>
      <c r="K481" s="25">
        <f>'Copy of All Sales'!$G481-'Copy of All Sales'!$I481</f>
        <v>-14299.08</v>
      </c>
    </row>
    <row r="482" spans="1:11" x14ac:dyDescent="0.25">
      <c r="A482" s="18">
        <v>44531</v>
      </c>
      <c r="B482" s="19"/>
      <c r="C482" s="19"/>
      <c r="D482" s="19" t="s">
        <v>137</v>
      </c>
      <c r="E482" s="19" t="str">
        <v/>
      </c>
      <c r="F482" s="19" t="s">
        <v>22</v>
      </c>
      <c r="G482" s="20">
        <v>891.44999999999993</v>
      </c>
      <c r="H482" s="19" t="s">
        <v>11</v>
      </c>
      <c r="I482" s="20">
        <v>15000</v>
      </c>
      <c r="J482" s="20">
        <f t="shared" si="7"/>
        <v>0</v>
      </c>
      <c r="K482" s="21">
        <f>'Copy of All Sales'!$G482-'Copy of All Sales'!$I482</f>
        <v>-14108.55</v>
      </c>
    </row>
    <row r="483" spans="1:11" x14ac:dyDescent="0.25">
      <c r="A483" s="22">
        <v>44531</v>
      </c>
      <c r="B483" s="23"/>
      <c r="C483" s="23"/>
      <c r="D483" s="23" t="s">
        <v>137</v>
      </c>
      <c r="E483" s="23" t="str">
        <v/>
      </c>
      <c r="F483" s="23" t="s">
        <v>22</v>
      </c>
      <c r="G483" s="24">
        <v>708.89</v>
      </c>
      <c r="H483" s="23" t="s">
        <v>11</v>
      </c>
      <c r="I483" s="24">
        <v>15000</v>
      </c>
      <c r="J483" s="24">
        <f t="shared" si="7"/>
        <v>0</v>
      </c>
      <c r="K483" s="25">
        <f>'Copy of All Sales'!$G483-'Copy of All Sales'!$I483</f>
        <v>-14291.11</v>
      </c>
    </row>
    <row r="484" spans="1:11" x14ac:dyDescent="0.25">
      <c r="A484" s="18">
        <v>44531</v>
      </c>
      <c r="B484" s="19"/>
      <c r="C484" s="19"/>
      <c r="D484" s="19" t="s">
        <v>137</v>
      </c>
      <c r="E484" s="19" t="str">
        <v/>
      </c>
      <c r="F484" s="19" t="s">
        <v>22</v>
      </c>
      <c r="G484" s="20">
        <v>809.55</v>
      </c>
      <c r="H484" s="19" t="s">
        <v>11</v>
      </c>
      <c r="I484" s="20">
        <v>15000</v>
      </c>
      <c r="J484" s="20">
        <f t="shared" si="7"/>
        <v>0</v>
      </c>
      <c r="K484" s="21">
        <f>'Copy of All Sales'!$G484-'Copy of All Sales'!$I484</f>
        <v>-14190.45</v>
      </c>
    </row>
    <row r="485" spans="1:11" x14ac:dyDescent="0.25">
      <c r="A485" s="22">
        <v>44531</v>
      </c>
      <c r="B485" s="23" t="s">
        <v>66</v>
      </c>
      <c r="C485" s="23" t="s">
        <v>67</v>
      </c>
      <c r="D485" s="23" t="s">
        <v>65</v>
      </c>
      <c r="E485" s="23" t="str">
        <v>Spencer Cruz</v>
      </c>
      <c r="F485" s="23" t="s">
        <v>22</v>
      </c>
      <c r="G485" s="24">
        <v>7009.2000000000007</v>
      </c>
      <c r="H485" s="23" t="s">
        <v>15</v>
      </c>
      <c r="I485" s="24">
        <v>15000</v>
      </c>
      <c r="J485" s="24">
        <f t="shared" si="7"/>
        <v>0</v>
      </c>
      <c r="K485" s="25">
        <f>'Copy of All Sales'!$G485-'Copy of All Sales'!$I485</f>
        <v>-7990.7999999999993</v>
      </c>
    </row>
    <row r="486" spans="1:11" x14ac:dyDescent="0.25">
      <c r="A486" s="18">
        <v>44531</v>
      </c>
      <c r="B486" s="19" t="s">
        <v>54</v>
      </c>
      <c r="C486" s="19" t="s">
        <v>55</v>
      </c>
      <c r="D486" s="19" t="s">
        <v>53</v>
      </c>
      <c r="E486" s="19" t="str">
        <v>Josh Sutherland</v>
      </c>
      <c r="F486" s="19" t="s">
        <v>22</v>
      </c>
      <c r="G486" s="20">
        <v>7088.9</v>
      </c>
      <c r="H486" s="19" t="s">
        <v>11</v>
      </c>
      <c r="I486" s="20">
        <v>15000</v>
      </c>
      <c r="J486" s="20">
        <f t="shared" si="7"/>
        <v>0</v>
      </c>
      <c r="K486" s="21">
        <f>'Copy of All Sales'!$G486-'Copy of All Sales'!$I486</f>
        <v>-7911.1</v>
      </c>
    </row>
    <row r="487" spans="1:11" x14ac:dyDescent="0.25">
      <c r="A487" s="22">
        <v>44531</v>
      </c>
      <c r="B487" s="23" t="s">
        <v>66</v>
      </c>
      <c r="C487" s="23" t="s">
        <v>67</v>
      </c>
      <c r="D487" s="23" t="s">
        <v>65</v>
      </c>
      <c r="E487" s="23" t="str">
        <v>Spencer Cruz</v>
      </c>
      <c r="F487" s="23" t="s">
        <v>22</v>
      </c>
      <c r="G487" s="24">
        <v>8095.5</v>
      </c>
      <c r="H487" s="23" t="s">
        <v>11</v>
      </c>
      <c r="I487" s="24">
        <v>15000</v>
      </c>
      <c r="J487" s="24">
        <f t="shared" si="7"/>
        <v>0</v>
      </c>
      <c r="K487" s="25">
        <f>'Copy of All Sales'!$G487-'Copy of All Sales'!$I487</f>
        <v>-6904.5</v>
      </c>
    </row>
    <row r="488" spans="1:11" ht="15.75" thickBot="1" x14ac:dyDescent="0.3">
      <c r="A488" s="18">
        <v>44531</v>
      </c>
      <c r="B488" s="19" t="s">
        <v>20</v>
      </c>
      <c r="C488" s="19" t="s">
        <v>21</v>
      </c>
      <c r="D488" s="19" t="s">
        <v>138</v>
      </c>
      <c r="E488" s="19" t="str">
        <v>Nina McDonald+D1:D488</v>
      </c>
      <c r="F488" s="19" t="s">
        <v>22</v>
      </c>
      <c r="G488" s="20">
        <v>8914.5</v>
      </c>
      <c r="H488" s="19" t="s">
        <v>11</v>
      </c>
      <c r="I488" s="20">
        <v>15000</v>
      </c>
      <c r="J488" s="20">
        <f t="shared" si="7"/>
        <v>0</v>
      </c>
      <c r="K488" s="21">
        <f>'Copy of All Sales'!$G488-'Copy of All Sales'!$I488</f>
        <v>-6085.5</v>
      </c>
    </row>
    <row r="489" spans="1:11" ht="15.75" thickTop="1" x14ac:dyDescent="0.25">
      <c r="A489" s="26" t="s">
        <v>79</v>
      </c>
      <c r="B489" s="27"/>
      <c r="C489" s="27"/>
      <c r="D489" s="27"/>
      <c r="E489" s="27"/>
      <c r="F489" s="27"/>
      <c r="G489" s="28">
        <f>SUBTOTAL(109,'Copy of All Sales'!$G$2:$G$488)</f>
        <v>7458789.7899999926</v>
      </c>
      <c r="H489" s="27"/>
      <c r="I489" s="27"/>
      <c r="J489" s="28">
        <f>SUBTOTAL(109,'Copy of All Sales'!$J$2:$J$488)</f>
        <v>572080.03999999992</v>
      </c>
      <c r="K489" s="29"/>
    </row>
  </sheetData>
  <hyperlinks>
    <hyperlink ref="O3" location="'Cover Page'!A1" display="Back to Cover Page" xr:uid="{AF071236-1183-40F5-84DC-D09B380E3B47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FA8C-15AF-435D-882F-EB44DE934636}">
  <sheetPr>
    <tabColor rgb="FFFFFF00"/>
  </sheetPr>
  <dimension ref="C1:T7"/>
  <sheetViews>
    <sheetView tabSelected="1" zoomScale="80" zoomScaleNormal="80" workbookViewId="0">
      <selection activeCell="R9" sqref="R9"/>
    </sheetView>
  </sheetViews>
  <sheetFormatPr defaultRowHeight="15" x14ac:dyDescent="0.25"/>
  <cols>
    <col min="3" max="3" width="11.7109375" customWidth="1"/>
    <col min="4" max="4" width="11.42578125" customWidth="1"/>
    <col min="5" max="5" width="13.28515625" customWidth="1"/>
    <col min="11" max="11" width="13.42578125" bestFit="1" customWidth="1"/>
    <col min="12" max="12" width="13.5703125" bestFit="1" customWidth="1"/>
    <col min="13" max="13" width="12" bestFit="1" customWidth="1"/>
    <col min="16" max="18" width="16.140625" customWidth="1"/>
  </cols>
  <sheetData>
    <row r="1" spans="3:20" ht="15.75" x14ac:dyDescent="0.25">
      <c r="C1" s="10" t="s">
        <v>83</v>
      </c>
      <c r="D1" s="11" t="s">
        <v>82</v>
      </c>
    </row>
    <row r="2" spans="3:20" x14ac:dyDescent="0.25">
      <c r="P2" s="9" t="s">
        <v>4</v>
      </c>
      <c r="Q2" t="s">
        <v>84</v>
      </c>
      <c r="R2" t="s">
        <v>76</v>
      </c>
    </row>
    <row r="3" spans="3:20" x14ac:dyDescent="0.25">
      <c r="P3" t="s">
        <v>33</v>
      </c>
      <c r="Q3" s="4">
        <v>1945833.2000000004</v>
      </c>
      <c r="R3" s="4">
        <v>157168.13</v>
      </c>
    </row>
    <row r="4" spans="3:20" x14ac:dyDescent="0.25">
      <c r="P4" t="s">
        <v>22</v>
      </c>
      <c r="Q4" s="4">
        <v>1894626.6899999995</v>
      </c>
      <c r="R4" s="4">
        <v>128660.95999999998</v>
      </c>
    </row>
    <row r="5" spans="3:20" x14ac:dyDescent="0.25">
      <c r="P5" t="s">
        <v>26</v>
      </c>
      <c r="Q5" s="4">
        <v>1812496.3000000007</v>
      </c>
      <c r="R5" s="4">
        <v>138552.42000000001</v>
      </c>
    </row>
    <row r="6" spans="3:20" x14ac:dyDescent="0.25">
      <c r="P6" t="s">
        <v>10</v>
      </c>
      <c r="Q6" s="4">
        <v>1805833.5999999996</v>
      </c>
      <c r="R6" s="4">
        <v>147698.53000000003</v>
      </c>
    </row>
    <row r="7" spans="3:20" x14ac:dyDescent="0.25">
      <c r="P7" t="s">
        <v>81</v>
      </c>
      <c r="Q7" s="4">
        <v>7458789.79</v>
      </c>
      <c r="R7" s="4">
        <v>572080.04</v>
      </c>
      <c r="T7" s="12" t="s">
        <v>136</v>
      </c>
    </row>
  </sheetData>
  <hyperlinks>
    <hyperlink ref="T7" location="'Cover Page'!A1" display="Back to Cover Page" xr:uid="{1943D95D-C14A-4D85-8246-FAF9627BFD76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98C8-6F84-4090-AA51-28B815C5B6C3}">
  <sheetPr>
    <tabColor theme="4" tint="-0.499984740745262"/>
  </sheetPr>
  <dimension ref="N3"/>
  <sheetViews>
    <sheetView workbookViewId="0"/>
  </sheetViews>
  <sheetFormatPr defaultRowHeight="15" x14ac:dyDescent="0.25"/>
  <cols>
    <col min="1" max="1" width="13.7109375" bestFit="1" customWidth="1"/>
    <col min="2" max="2" width="17.42578125" bestFit="1" customWidth="1"/>
    <col min="3" max="4" width="8.140625" bestFit="1" customWidth="1"/>
  </cols>
  <sheetData>
    <row r="3" spans="14:14" x14ac:dyDescent="0.25">
      <c r="N3" s="12" t="s">
        <v>136</v>
      </c>
    </row>
  </sheetData>
  <hyperlinks>
    <hyperlink ref="N3" location="'Cover Page'!A1" display="Back to Cover Page" xr:uid="{0BFB5B08-1F64-48C3-88AB-29CE2928845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AF88-2B89-4DB3-90BF-A9F907188C8E}">
  <dimension ref="A1:N21"/>
  <sheetViews>
    <sheetView workbookViewId="0">
      <selection activeCell="N3" sqref="N3"/>
    </sheetView>
  </sheetViews>
  <sheetFormatPr defaultRowHeight="15" x14ac:dyDescent="0.25"/>
  <cols>
    <col min="1" max="2" width="19.5703125" customWidth="1"/>
    <col min="3" max="3" width="12.140625" bestFit="1" customWidth="1"/>
  </cols>
  <sheetData>
    <row r="1" spans="1:14" x14ac:dyDescent="0.25">
      <c r="A1" s="14" t="s">
        <v>2</v>
      </c>
      <c r="B1" s="14" t="s">
        <v>3</v>
      </c>
      <c r="C1" s="14" t="s">
        <v>92</v>
      </c>
    </row>
    <row r="2" spans="1:14" x14ac:dyDescent="0.25">
      <c r="A2" t="s">
        <v>93</v>
      </c>
      <c r="B2" t="s">
        <v>112</v>
      </c>
      <c r="C2" t="s">
        <v>132</v>
      </c>
    </row>
    <row r="3" spans="1:14" x14ac:dyDescent="0.25">
      <c r="A3" t="s">
        <v>94</v>
      </c>
      <c r="B3" t="s">
        <v>113</v>
      </c>
      <c r="C3" t="s">
        <v>132</v>
      </c>
      <c r="N3" s="12" t="s">
        <v>136</v>
      </c>
    </row>
    <row r="4" spans="1:14" x14ac:dyDescent="0.25">
      <c r="A4" t="s">
        <v>95</v>
      </c>
      <c r="B4" t="s">
        <v>114</v>
      </c>
      <c r="C4" t="s">
        <v>132</v>
      </c>
    </row>
    <row r="5" spans="1:14" x14ac:dyDescent="0.25">
      <c r="A5" t="s">
        <v>8</v>
      </c>
      <c r="B5" t="s">
        <v>115</v>
      </c>
      <c r="C5" t="s">
        <v>132</v>
      </c>
    </row>
    <row r="6" spans="1:14" x14ac:dyDescent="0.25">
      <c r="A6" t="s">
        <v>96</v>
      </c>
      <c r="B6" t="s">
        <v>116</v>
      </c>
      <c r="C6" t="s">
        <v>132</v>
      </c>
    </row>
    <row r="7" spans="1:14" x14ac:dyDescent="0.25">
      <c r="A7" t="s">
        <v>97</v>
      </c>
      <c r="B7" t="s">
        <v>117</v>
      </c>
      <c r="C7" t="s">
        <v>133</v>
      </c>
    </row>
    <row r="8" spans="1:14" x14ac:dyDescent="0.25">
      <c r="A8" t="s">
        <v>98</v>
      </c>
      <c r="B8" t="s">
        <v>118</v>
      </c>
      <c r="C8" t="s">
        <v>133</v>
      </c>
    </row>
    <row r="9" spans="1:14" x14ac:dyDescent="0.25">
      <c r="A9" t="s">
        <v>99</v>
      </c>
      <c r="B9" t="s">
        <v>119</v>
      </c>
      <c r="C9" t="s">
        <v>133</v>
      </c>
    </row>
    <row r="10" spans="1:14" x14ac:dyDescent="0.25">
      <c r="A10" t="s">
        <v>100</v>
      </c>
      <c r="B10" t="s">
        <v>120</v>
      </c>
      <c r="C10" t="s">
        <v>133</v>
      </c>
    </row>
    <row r="11" spans="1:14" x14ac:dyDescent="0.25">
      <c r="A11" t="s">
        <v>101</v>
      </c>
      <c r="B11" t="s">
        <v>121</v>
      </c>
      <c r="C11" t="s">
        <v>133</v>
      </c>
    </row>
    <row r="12" spans="1:14" x14ac:dyDescent="0.25">
      <c r="A12" t="s">
        <v>102</v>
      </c>
      <c r="B12" t="s">
        <v>122</v>
      </c>
      <c r="C12" t="s">
        <v>134</v>
      </c>
    </row>
    <row r="13" spans="1:14" x14ac:dyDescent="0.25">
      <c r="A13" t="s">
        <v>103</v>
      </c>
      <c r="B13" t="s">
        <v>123</v>
      </c>
      <c r="C13" t="s">
        <v>134</v>
      </c>
    </row>
    <row r="14" spans="1:14" x14ac:dyDescent="0.25">
      <c r="A14" t="s">
        <v>104</v>
      </c>
      <c r="B14" t="s">
        <v>124</v>
      </c>
      <c r="C14" t="s">
        <v>134</v>
      </c>
    </row>
    <row r="15" spans="1:14" x14ac:dyDescent="0.25">
      <c r="A15" t="s">
        <v>105</v>
      </c>
      <c r="B15" t="s">
        <v>125</v>
      </c>
      <c r="C15" t="s">
        <v>134</v>
      </c>
    </row>
    <row r="16" spans="1:14" x14ac:dyDescent="0.25">
      <c r="A16" t="s">
        <v>106</v>
      </c>
      <c r="B16" t="s">
        <v>126</v>
      </c>
      <c r="C16" t="s">
        <v>134</v>
      </c>
    </row>
    <row r="17" spans="1:3" x14ac:dyDescent="0.25">
      <c r="A17" t="s">
        <v>107</v>
      </c>
      <c r="B17" t="s">
        <v>127</v>
      </c>
      <c r="C17" t="s">
        <v>135</v>
      </c>
    </row>
    <row r="18" spans="1:3" x14ac:dyDescent="0.25">
      <c r="A18" t="s">
        <v>108</v>
      </c>
      <c r="B18" t="s">
        <v>128</v>
      </c>
      <c r="C18" t="s">
        <v>135</v>
      </c>
    </row>
    <row r="19" spans="1:3" x14ac:dyDescent="0.25">
      <c r="A19" t="s">
        <v>109</v>
      </c>
      <c r="B19" t="s">
        <v>129</v>
      </c>
      <c r="C19" t="s">
        <v>135</v>
      </c>
    </row>
    <row r="20" spans="1:3" x14ac:dyDescent="0.25">
      <c r="A20" t="s">
        <v>110</v>
      </c>
      <c r="B20" t="s">
        <v>130</v>
      </c>
      <c r="C20" t="s">
        <v>135</v>
      </c>
    </row>
    <row r="21" spans="1:3" x14ac:dyDescent="0.25">
      <c r="A21" t="s">
        <v>111</v>
      </c>
      <c r="B21" t="s">
        <v>131</v>
      </c>
      <c r="C21" t="s">
        <v>135</v>
      </c>
    </row>
  </sheetData>
  <hyperlinks>
    <hyperlink ref="N3" location="'Cover Page'!A1" display="Back to Cover Page" xr:uid="{475C643E-B286-45B9-9E06-3227752FE16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CD5F422E388419BB522F4435A2991" ma:contentTypeVersion="12" ma:contentTypeDescription="Create a new document." ma:contentTypeScope="" ma:versionID="e5c10cafc2c37c7f469fd87ac61c85e7">
  <xsd:schema xmlns:xsd="http://www.w3.org/2001/XMLSchema" xmlns:xs="http://www.w3.org/2001/XMLSchema" xmlns:p="http://schemas.microsoft.com/office/2006/metadata/properties" xmlns:ns2="e126d1a7-de2c-4ae3-80af-dc9ec7d9558b" xmlns:ns3="16c367a0-1ebe-4645-bffe-e50f3117a967" targetNamespace="http://schemas.microsoft.com/office/2006/metadata/properties" ma:root="true" ma:fieldsID="64cf9e92a51322bbdec604bdb87428eb" ns2:_="" ns3:_="">
    <xsd:import namespace="e126d1a7-de2c-4ae3-80af-dc9ec7d9558b"/>
    <xsd:import namespace="16c367a0-1ebe-4645-bffe-e50f3117a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6d1a7-de2c-4ae3-80af-dc9ec7d955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367a0-1ebe-4645-bffe-e50f3117a9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963A61-4F05-49D6-87F4-8E7846E7612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D05788C-CCE3-43E2-B02F-684784C71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6d1a7-de2c-4ae3-80af-dc9ec7d9558b"/>
    <ds:schemaRef ds:uri="16c367a0-1ebe-4645-bffe-e50f3117a9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2D493F-1B21-493B-8C3B-146983EC30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542A510-48B6-43F9-AAB2-E3FA724FCB5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All Sales</vt:lpstr>
      <vt:lpstr>North</vt:lpstr>
      <vt:lpstr>South</vt:lpstr>
      <vt:lpstr>East</vt:lpstr>
      <vt:lpstr>West</vt:lpstr>
      <vt:lpstr>Copy of All Sales</vt:lpstr>
      <vt:lpstr>Chart</vt:lpstr>
      <vt:lpstr>Sales Analysis</vt:lpstr>
      <vt:lpstr>New Staff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2021-11-26T10:50:27Z</dcterms:created>
  <dcterms:modified xsi:type="dcterms:W3CDTF">2026-01-14T04:49:34Z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0x0101000E1CD5F422E388419BB522F4435A2991</vt:lpwstr>
  </property>
</Properties>
</file>